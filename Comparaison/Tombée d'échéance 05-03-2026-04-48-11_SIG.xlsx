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ISTANT IT\Downloads\projet_python\Vision Extract\Comparaison\"/>
    </mc:Choice>
  </mc:AlternateContent>
  <xr:revisionPtr revIDLastSave="0" documentId="8_{53166602-5533-4E18-99DC-A730B7B48E8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écap" sheetId="2" r:id="rId1"/>
    <sheet name="Listing tombées" sheetId="1" r:id="rId2"/>
  </sheets>
  <definedNames>
    <definedName name="_xlnm._FilterDatabase" localSheetId="1" hidden="1">'Listing tombées'!$A$2:$AA$800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2" i="1" l="1"/>
  <c r="L122" i="1"/>
  <c r="M122" i="1"/>
  <c r="N122" i="1"/>
  <c r="O122" i="1"/>
  <c r="P122" i="1"/>
  <c r="Q122" i="1"/>
  <c r="U122" i="1"/>
  <c r="V122" i="1"/>
  <c r="E7" i="2" s="1"/>
  <c r="K154" i="1"/>
  <c r="L154" i="1"/>
  <c r="M154" i="1"/>
  <c r="N154" i="1"/>
  <c r="O154" i="1"/>
  <c r="P154" i="1"/>
  <c r="Q154" i="1"/>
  <c r="U154" i="1"/>
  <c r="V154" i="1"/>
  <c r="E8" i="2" s="1"/>
  <c r="K308" i="1"/>
  <c r="L308" i="1"/>
  <c r="M308" i="1"/>
  <c r="N308" i="1"/>
  <c r="O308" i="1"/>
  <c r="P308" i="1"/>
  <c r="Q308" i="1"/>
  <c r="U308" i="1"/>
  <c r="V308" i="1"/>
  <c r="E9" i="2" s="1"/>
  <c r="K419" i="1"/>
  <c r="L419" i="1"/>
  <c r="M419" i="1"/>
  <c r="N419" i="1"/>
  <c r="O419" i="1"/>
  <c r="P419" i="1"/>
  <c r="Q419" i="1"/>
  <c r="U419" i="1"/>
  <c r="V419" i="1"/>
  <c r="E10" i="2" s="1"/>
  <c r="K559" i="1"/>
  <c r="L559" i="1"/>
  <c r="M559" i="1"/>
  <c r="N559" i="1"/>
  <c r="O559" i="1"/>
  <c r="P559" i="1"/>
  <c r="Q559" i="1"/>
  <c r="U559" i="1"/>
  <c r="V559" i="1"/>
  <c r="E11" i="2" s="1"/>
  <c r="K599" i="1"/>
  <c r="L599" i="1"/>
  <c r="M599" i="1"/>
  <c r="N599" i="1"/>
  <c r="O599" i="1"/>
  <c r="P599" i="1"/>
  <c r="Q599" i="1"/>
  <c r="U599" i="1"/>
  <c r="V599" i="1"/>
  <c r="E12" i="2" s="1"/>
  <c r="J599" i="1"/>
  <c r="H12" i="2" s="1"/>
  <c r="K674" i="1"/>
  <c r="L674" i="1"/>
  <c r="M674" i="1"/>
  <c r="N674" i="1"/>
  <c r="O674" i="1"/>
  <c r="P674" i="1"/>
  <c r="Q674" i="1"/>
  <c r="U674" i="1"/>
  <c r="V674" i="1"/>
  <c r="E13" i="2" s="1"/>
  <c r="J674" i="1"/>
  <c r="H13" i="2" s="1"/>
  <c r="K724" i="1"/>
  <c r="L724" i="1"/>
  <c r="M724" i="1"/>
  <c r="N724" i="1"/>
  <c r="O724" i="1"/>
  <c r="P724" i="1"/>
  <c r="Q724" i="1"/>
  <c r="U724" i="1"/>
  <c r="V724" i="1"/>
  <c r="E14" i="2" s="1"/>
  <c r="J724" i="1"/>
  <c r="H14" i="2" s="1"/>
  <c r="K801" i="1"/>
  <c r="K802" i="1" s="1"/>
  <c r="L801" i="1"/>
  <c r="L802" i="1" s="1"/>
  <c r="M801" i="1"/>
  <c r="M802" i="1" s="1"/>
  <c r="N801" i="1"/>
  <c r="N802" i="1" s="1"/>
  <c r="O801" i="1"/>
  <c r="O802" i="1" s="1"/>
  <c r="P801" i="1"/>
  <c r="P802" i="1" s="1"/>
  <c r="Q801" i="1"/>
  <c r="Q802" i="1" s="1"/>
  <c r="U801" i="1"/>
  <c r="U802" i="1" s="1"/>
  <c r="V801" i="1"/>
  <c r="J801" i="1"/>
  <c r="A801" i="1"/>
  <c r="A724" i="1"/>
  <c r="D14" i="2" s="1"/>
  <c r="A674" i="1"/>
  <c r="D13" i="2" s="1"/>
  <c r="A599" i="1"/>
  <c r="D12" i="2" s="1"/>
  <c r="A559" i="1"/>
  <c r="D11" i="2" s="1"/>
  <c r="A419" i="1"/>
  <c r="D10" i="2" s="1"/>
  <c r="A308" i="1"/>
  <c r="D9" i="2" s="1"/>
  <c r="A154" i="1"/>
  <c r="D8" i="2" s="1"/>
  <c r="A122" i="1"/>
  <c r="D7" i="2" s="1"/>
  <c r="W41" i="1"/>
  <c r="W93" i="1"/>
  <c r="W23" i="1"/>
  <c r="W54" i="1"/>
  <c r="W85" i="1"/>
  <c r="W59" i="1"/>
  <c r="W79" i="1"/>
  <c r="W86" i="1"/>
  <c r="W10" i="1"/>
  <c r="W45" i="1"/>
  <c r="W13" i="1"/>
  <c r="W19" i="1"/>
  <c r="W18" i="1"/>
  <c r="W38" i="1"/>
  <c r="W33" i="1"/>
  <c r="W341" i="1"/>
  <c r="W44" i="1"/>
  <c r="W77" i="1"/>
  <c r="W27" i="1"/>
  <c r="W9" i="1"/>
  <c r="W66" i="1"/>
  <c r="W75" i="1"/>
  <c r="W102" i="1"/>
  <c r="W108" i="1"/>
  <c r="W36" i="1"/>
  <c r="W106" i="1"/>
  <c r="W94" i="1"/>
  <c r="W119" i="1"/>
  <c r="W32" i="1"/>
  <c r="W99" i="1"/>
  <c r="W96" i="1"/>
  <c r="W84" i="1"/>
  <c r="W65" i="1"/>
  <c r="W129" i="1"/>
  <c r="W147" i="1"/>
  <c r="W143" i="1"/>
  <c r="W150" i="1"/>
  <c r="W138" i="1"/>
  <c r="W148" i="1"/>
  <c r="W194" i="1"/>
  <c r="W227" i="1"/>
  <c r="W183" i="1"/>
  <c r="W243" i="1"/>
  <c r="W244" i="1"/>
  <c r="W269" i="1"/>
  <c r="W207" i="1"/>
  <c r="W184" i="1"/>
  <c r="W211" i="1"/>
  <c r="W217" i="1"/>
  <c r="W201" i="1"/>
  <c r="W191" i="1"/>
  <c r="W198" i="1"/>
  <c r="W176" i="1"/>
  <c r="W199" i="1"/>
  <c r="W174" i="1"/>
  <c r="W206" i="1"/>
  <c r="W167" i="1"/>
  <c r="W173" i="1"/>
  <c r="W171" i="1"/>
  <c r="W286" i="1"/>
  <c r="W197" i="1"/>
  <c r="W155" i="1"/>
  <c r="W237" i="1"/>
  <c r="W169" i="1"/>
  <c r="W262" i="1"/>
  <c r="W178" i="1"/>
  <c r="W267" i="1"/>
  <c r="W298" i="1"/>
  <c r="W291" i="1"/>
  <c r="W258" i="1"/>
  <c r="W264" i="1"/>
  <c r="W195" i="1"/>
  <c r="W156" i="1"/>
  <c r="W273" i="1"/>
  <c r="W135" i="1"/>
  <c r="W164" i="1"/>
  <c r="W221" i="1"/>
  <c r="W251" i="1"/>
  <c r="W189" i="1"/>
  <c r="W175" i="1"/>
  <c r="W301" i="1"/>
  <c r="W161" i="1"/>
  <c r="W294" i="1"/>
  <c r="W216" i="1"/>
  <c r="W179" i="1"/>
  <c r="W165" i="1"/>
  <c r="W285" i="1"/>
  <c r="W223" i="1"/>
  <c r="W228" i="1"/>
  <c r="W229" i="1"/>
  <c r="W233" i="1"/>
  <c r="W257" i="1"/>
  <c r="W250" i="1"/>
  <c r="W253" i="1"/>
  <c r="W265" i="1"/>
  <c r="W283" i="1"/>
  <c r="W235" i="1"/>
  <c r="W278" i="1"/>
  <c r="W259" i="1"/>
  <c r="W282" i="1"/>
  <c r="W297" i="1"/>
  <c r="W238" i="1"/>
  <c r="W231" i="1"/>
  <c r="W225" i="1"/>
  <c r="W242" i="1"/>
  <c r="W246" i="1"/>
  <c r="W254" i="1"/>
  <c r="W248" i="1"/>
  <c r="W256" i="1"/>
  <c r="W271" i="1"/>
  <c r="W274" i="1"/>
  <c r="W307" i="1"/>
  <c r="W392" i="1"/>
  <c r="W399" i="1"/>
  <c r="W319" i="1"/>
  <c r="W350" i="1"/>
  <c r="W310" i="1"/>
  <c r="W362" i="1"/>
  <c r="W374" i="1"/>
  <c r="W378" i="1"/>
  <c r="W384" i="1"/>
  <c r="W390" i="1"/>
  <c r="W404" i="1"/>
  <c r="W388" i="1"/>
  <c r="W377" i="1"/>
  <c r="W387" i="1"/>
  <c r="W355" i="1"/>
  <c r="W364" i="1"/>
  <c r="W382" i="1"/>
  <c r="W389" i="1"/>
  <c r="W395" i="1"/>
  <c r="W311" i="1"/>
  <c r="W410" i="1"/>
  <c r="W406" i="1"/>
  <c r="W411" i="1"/>
  <c r="W396" i="1"/>
  <c r="W398" i="1"/>
  <c r="W360" i="1"/>
  <c r="W511" i="1"/>
  <c r="W491" i="1"/>
  <c r="W493" i="1"/>
  <c r="W495" i="1"/>
  <c r="W526" i="1"/>
  <c r="W519" i="1"/>
  <c r="W428" i="1"/>
  <c r="W521" i="1"/>
  <c r="W450" i="1"/>
  <c r="W508" i="1"/>
  <c r="W485" i="1"/>
  <c r="W523" i="1"/>
  <c r="W522" i="1"/>
  <c r="W517" i="1"/>
  <c r="W528" i="1"/>
  <c r="W525" i="1"/>
  <c r="W524" i="1"/>
  <c r="W515" i="1"/>
  <c r="W520" i="1"/>
  <c r="W540" i="1"/>
  <c r="W480" i="1"/>
  <c r="W504" i="1"/>
  <c r="W463" i="1"/>
  <c r="W509" i="1"/>
  <c r="W425" i="1"/>
  <c r="W543" i="1"/>
  <c r="W487" i="1"/>
  <c r="W431" i="1"/>
  <c r="W498" i="1"/>
  <c r="W505" i="1"/>
  <c r="W448" i="1"/>
  <c r="W432" i="1"/>
  <c r="W482" i="1"/>
  <c r="W537" i="1"/>
  <c r="W483" i="1"/>
  <c r="W471" i="1"/>
  <c r="W440" i="1"/>
  <c r="W512" i="1"/>
  <c r="W507" i="1"/>
  <c r="W555" i="1"/>
  <c r="W437" i="1"/>
  <c r="W556" i="1"/>
  <c r="W563" i="1"/>
  <c r="W562" i="1"/>
  <c r="W591" i="1"/>
  <c r="W589" i="1"/>
  <c r="W573" i="1"/>
  <c r="W590" i="1"/>
  <c r="W578" i="1"/>
  <c r="W572" i="1"/>
  <c r="W584" i="1"/>
  <c r="W580" i="1"/>
  <c r="W582" i="1"/>
  <c r="W585" i="1"/>
  <c r="W583" i="1"/>
  <c r="W575" i="1"/>
  <c r="W659" i="1"/>
  <c r="W660" i="1"/>
  <c r="W643" i="1"/>
  <c r="W613" i="1"/>
  <c r="W639" i="1"/>
  <c r="W623" i="1"/>
  <c r="W631" i="1"/>
  <c r="W615" i="1"/>
  <c r="W672" i="1"/>
  <c r="W667" i="1"/>
  <c r="W705" i="1"/>
  <c r="W700" i="1"/>
  <c r="W694" i="1"/>
  <c r="W683" i="1"/>
  <c r="W686" i="1"/>
  <c r="X692" i="1"/>
  <c r="W692" i="1"/>
  <c r="W717" i="1"/>
  <c r="W716" i="1"/>
  <c r="W715" i="1"/>
  <c r="W711" i="1"/>
  <c r="W675" i="1"/>
  <c r="W726" i="1"/>
  <c r="W777" i="1"/>
  <c r="W778" i="1"/>
  <c r="W779" i="1"/>
  <c r="W768" i="1"/>
  <c r="W765" i="1"/>
  <c r="W741" i="1"/>
  <c r="W740" i="1"/>
  <c r="W742" i="1"/>
  <c r="W766" i="1"/>
  <c r="W725" i="1"/>
  <c r="W761" i="1"/>
  <c r="W770" i="1"/>
  <c r="W759" i="1"/>
  <c r="W776" i="1"/>
  <c r="W746" i="1"/>
  <c r="W786" i="1"/>
  <c r="W767" i="1"/>
  <c r="W791" i="1"/>
  <c r="W792" i="1"/>
  <c r="W758" i="1"/>
  <c r="W749" i="1"/>
  <c r="W762" i="1"/>
  <c r="W748" i="1"/>
  <c r="W790" i="1"/>
  <c r="W789" i="1"/>
  <c r="W800" i="1"/>
  <c r="W757" i="1"/>
  <c r="S757" i="1"/>
  <c r="S800" i="1"/>
  <c r="S790" i="1"/>
  <c r="S789" i="1"/>
  <c r="S762" i="1"/>
  <c r="S748" i="1"/>
  <c r="S758" i="1"/>
  <c r="S749" i="1"/>
  <c r="S791" i="1"/>
  <c r="S792" i="1"/>
  <c r="S786" i="1"/>
  <c r="S767" i="1"/>
  <c r="S746" i="1"/>
  <c r="S759" i="1"/>
  <c r="S776" i="1"/>
  <c r="S770" i="1"/>
  <c r="S761" i="1"/>
  <c r="S725" i="1"/>
  <c r="S766" i="1"/>
  <c r="S741" i="1"/>
  <c r="S740" i="1"/>
  <c r="X740" i="1" s="1"/>
  <c r="S742" i="1"/>
  <c r="X742" i="1" s="1"/>
  <c r="S768" i="1"/>
  <c r="X768" i="1" s="1"/>
  <c r="S765" i="1"/>
  <c r="X765" i="1" s="1"/>
  <c r="S777" i="1"/>
  <c r="X777" i="1" s="1"/>
  <c r="S778" i="1"/>
  <c r="X778" i="1" s="1"/>
  <c r="S779" i="1"/>
  <c r="X779" i="1" s="1"/>
  <c r="S726" i="1"/>
  <c r="X726" i="1" s="1"/>
  <c r="S675" i="1"/>
  <c r="S711" i="1"/>
  <c r="X711" i="1" s="1"/>
  <c r="S717" i="1"/>
  <c r="X717" i="1" s="1"/>
  <c r="S716" i="1"/>
  <c r="X716" i="1" s="1"/>
  <c r="S715" i="1"/>
  <c r="X715" i="1" s="1"/>
  <c r="S686" i="1"/>
  <c r="X686" i="1" s="1"/>
  <c r="S700" i="1"/>
  <c r="X700" i="1" s="1"/>
  <c r="S694" i="1"/>
  <c r="X694" i="1" s="1"/>
  <c r="S683" i="1"/>
  <c r="X683" i="1" s="1"/>
  <c r="S705" i="1"/>
  <c r="X705" i="1" s="1"/>
  <c r="S667" i="1"/>
  <c r="X667" i="1" s="1"/>
  <c r="S672" i="1"/>
  <c r="X672" i="1" s="1"/>
  <c r="S615" i="1"/>
  <c r="S631" i="1"/>
  <c r="S623" i="1"/>
  <c r="S639" i="1"/>
  <c r="S613" i="1"/>
  <c r="S659" i="1"/>
  <c r="S660" i="1"/>
  <c r="S643" i="1"/>
  <c r="S575" i="1"/>
  <c r="S582" i="1"/>
  <c r="S585" i="1"/>
  <c r="S583" i="1"/>
  <c r="S584" i="1"/>
  <c r="S580" i="1"/>
  <c r="S578" i="1"/>
  <c r="S572" i="1"/>
  <c r="S573" i="1"/>
  <c r="S590" i="1"/>
  <c r="S589" i="1"/>
  <c r="S562" i="1"/>
  <c r="S563" i="1"/>
  <c r="S556" i="1"/>
  <c r="S555" i="1"/>
  <c r="S437" i="1"/>
  <c r="S507" i="1"/>
  <c r="S512" i="1"/>
  <c r="S440" i="1"/>
  <c r="S483" i="1"/>
  <c r="S471" i="1"/>
  <c r="S482" i="1"/>
  <c r="S537" i="1"/>
  <c r="S432" i="1"/>
  <c r="S448" i="1"/>
  <c r="S505" i="1"/>
  <c r="S498" i="1"/>
  <c r="S487" i="1"/>
  <c r="S431" i="1"/>
  <c r="S543" i="1"/>
  <c r="S509" i="1"/>
  <c r="S425" i="1"/>
  <c r="S480" i="1"/>
  <c r="S504" i="1"/>
  <c r="S463" i="1"/>
  <c r="S540" i="1"/>
  <c r="S520" i="1"/>
  <c r="S524" i="1"/>
  <c r="S515" i="1"/>
  <c r="S525" i="1"/>
  <c r="S528" i="1"/>
  <c r="S428" i="1"/>
  <c r="S521" i="1"/>
  <c r="S450" i="1"/>
  <c r="S508" i="1"/>
  <c r="S485" i="1"/>
  <c r="S523" i="1"/>
  <c r="S522" i="1"/>
  <c r="S517" i="1"/>
  <c r="S526" i="1"/>
  <c r="S519" i="1"/>
  <c r="S495" i="1"/>
  <c r="S493" i="1"/>
  <c r="S491" i="1"/>
  <c r="S511" i="1"/>
  <c r="S360" i="1"/>
  <c r="S398" i="1"/>
  <c r="S410" i="1"/>
  <c r="S406" i="1"/>
  <c r="S411" i="1"/>
  <c r="S396" i="1"/>
  <c r="S311" i="1"/>
  <c r="S395" i="1"/>
  <c r="S389" i="1"/>
  <c r="S387" i="1"/>
  <c r="S355" i="1"/>
  <c r="S364" i="1"/>
  <c r="S377" i="1"/>
  <c r="S404" i="1"/>
  <c r="S388" i="1"/>
  <c r="S390" i="1"/>
  <c r="S384" i="1"/>
  <c r="S378" i="1"/>
  <c r="S374" i="1"/>
  <c r="S362" i="1"/>
  <c r="S310" i="1"/>
  <c r="S350" i="1"/>
  <c r="S399" i="1"/>
  <c r="S319" i="1"/>
  <c r="S392" i="1"/>
  <c r="S274" i="1"/>
  <c r="S307" i="1"/>
  <c r="S256" i="1"/>
  <c r="S271" i="1"/>
  <c r="S246" i="1"/>
  <c r="S254" i="1"/>
  <c r="S248" i="1"/>
  <c r="S242" i="1"/>
  <c r="S238" i="1"/>
  <c r="S225" i="1"/>
  <c r="S297" i="1"/>
  <c r="S282" i="1"/>
  <c r="S259" i="1"/>
  <c r="S278" i="1"/>
  <c r="S283" i="1"/>
  <c r="S235" i="1"/>
  <c r="S253" i="1"/>
  <c r="S265" i="1"/>
  <c r="S233" i="1"/>
  <c r="S257" i="1"/>
  <c r="S250" i="1"/>
  <c r="S229" i="1"/>
  <c r="S223" i="1"/>
  <c r="S228" i="1"/>
  <c r="S285" i="1"/>
  <c r="S165" i="1"/>
  <c r="S216" i="1"/>
  <c r="S179" i="1"/>
  <c r="S161" i="1"/>
  <c r="S294" i="1"/>
  <c r="S301" i="1"/>
  <c r="S221" i="1"/>
  <c r="S251" i="1"/>
  <c r="S175" i="1"/>
  <c r="S164" i="1"/>
  <c r="S135" i="1"/>
  <c r="S273" i="1"/>
  <c r="S258" i="1"/>
  <c r="S264" i="1"/>
  <c r="S195" i="1"/>
  <c r="S156" i="1"/>
  <c r="S298" i="1"/>
  <c r="S262" i="1"/>
  <c r="S178" i="1"/>
  <c r="S267" i="1"/>
  <c r="S237" i="1"/>
  <c r="S169" i="1"/>
  <c r="S155" i="1"/>
  <c r="S286" i="1"/>
  <c r="S197" i="1"/>
  <c r="S173" i="1"/>
  <c r="S171" i="1"/>
  <c r="S167" i="1"/>
  <c r="S206" i="1"/>
  <c r="S174" i="1"/>
  <c r="S191" i="1"/>
  <c r="S198" i="1"/>
  <c r="S176" i="1"/>
  <c r="S199" i="1"/>
  <c r="S201" i="1"/>
  <c r="S184" i="1"/>
  <c r="S211" i="1"/>
  <c r="S217" i="1"/>
  <c r="S207" i="1"/>
  <c r="S269" i="1"/>
  <c r="S244" i="1"/>
  <c r="S243" i="1"/>
  <c r="S194" i="1"/>
  <c r="S227" i="1"/>
  <c r="S183" i="1"/>
  <c r="S148" i="1"/>
  <c r="S138" i="1"/>
  <c r="S143" i="1"/>
  <c r="S150" i="1"/>
  <c r="S147" i="1"/>
  <c r="S129" i="1"/>
  <c r="S65" i="1"/>
  <c r="S84" i="1"/>
  <c r="S99" i="1"/>
  <c r="S96" i="1"/>
  <c r="S119" i="1"/>
  <c r="S32" i="1"/>
  <c r="S94" i="1"/>
  <c r="S106" i="1"/>
  <c r="S36" i="1"/>
  <c r="S108" i="1"/>
  <c r="S102" i="1"/>
  <c r="S75" i="1"/>
  <c r="S66" i="1"/>
  <c r="S9" i="1"/>
  <c r="S27" i="1"/>
  <c r="S341" i="1"/>
  <c r="S44" i="1"/>
  <c r="S77" i="1"/>
  <c r="S19" i="1"/>
  <c r="S18" i="1"/>
  <c r="S38" i="1"/>
  <c r="S33" i="1"/>
  <c r="S13" i="1"/>
  <c r="S45" i="1"/>
  <c r="S10" i="1"/>
  <c r="S86" i="1"/>
  <c r="S79" i="1"/>
  <c r="S23" i="1"/>
  <c r="S54" i="1"/>
  <c r="S85" i="1"/>
  <c r="S59" i="1"/>
  <c r="S93" i="1"/>
  <c r="S41" i="1"/>
  <c r="S291" i="1"/>
  <c r="W796" i="1"/>
  <c r="W772" i="1"/>
  <c r="W745" i="1"/>
  <c r="W797" i="1"/>
  <c r="W751" i="1"/>
  <c r="W799" i="1"/>
  <c r="W743" i="1"/>
  <c r="W793" i="1"/>
  <c r="W756" i="1"/>
  <c r="W730" i="1"/>
  <c r="W727" i="1"/>
  <c r="W794" i="1"/>
  <c r="W788" i="1"/>
  <c r="W732" i="1"/>
  <c r="W787" i="1"/>
  <c r="W752" i="1"/>
  <c r="W728" i="1"/>
  <c r="W781" i="1"/>
  <c r="W754" i="1"/>
  <c r="W750" i="1"/>
  <c r="W731" i="1"/>
  <c r="W785" i="1"/>
  <c r="W784" i="1"/>
  <c r="W739" i="1"/>
  <c r="W769" i="1"/>
  <c r="W760" i="1"/>
  <c r="W733" i="1"/>
  <c r="W782" i="1"/>
  <c r="W783" i="1"/>
  <c r="W780" i="1"/>
  <c r="W774" i="1"/>
  <c r="W736" i="1"/>
  <c r="W734" i="1"/>
  <c r="W771" i="1"/>
  <c r="W747" i="1"/>
  <c r="W773" i="1"/>
  <c r="W737" i="1"/>
  <c r="W729" i="1"/>
  <c r="W763" i="1"/>
  <c r="W755" i="1"/>
  <c r="W738" i="1"/>
  <c r="W775" i="1"/>
  <c r="W795" i="1"/>
  <c r="W764" i="1"/>
  <c r="W744" i="1"/>
  <c r="W798" i="1"/>
  <c r="W735" i="1"/>
  <c r="W753" i="1"/>
  <c r="W723" i="1"/>
  <c r="W687" i="1"/>
  <c r="W719" i="1"/>
  <c r="W698" i="1"/>
  <c r="W721" i="1"/>
  <c r="W676" i="1"/>
  <c r="W722" i="1"/>
  <c r="W681" i="1"/>
  <c r="W685" i="1"/>
  <c r="W690" i="1"/>
  <c r="W684" i="1"/>
  <c r="W677" i="1"/>
  <c r="W697" i="1"/>
  <c r="W688" i="1"/>
  <c r="W693" i="1"/>
  <c r="W709" i="1"/>
  <c r="W714" i="1"/>
  <c r="W718" i="1"/>
  <c r="W680" i="1"/>
  <c r="W712" i="1"/>
  <c r="W678" i="1"/>
  <c r="W701" i="1"/>
  <c r="W699" i="1"/>
  <c r="W702" i="1"/>
  <c r="W710" i="1"/>
  <c r="W720" i="1"/>
  <c r="W703" i="1"/>
  <c r="W713" i="1"/>
  <c r="W682" i="1"/>
  <c r="W696" i="1"/>
  <c r="W689" i="1"/>
  <c r="W706" i="1"/>
  <c r="W679" i="1"/>
  <c r="W708" i="1"/>
  <c r="W704" i="1"/>
  <c r="W695" i="1"/>
  <c r="W691" i="1"/>
  <c r="W707" i="1"/>
  <c r="W669" i="1"/>
  <c r="W671" i="1"/>
  <c r="W601" i="1"/>
  <c r="W663" i="1"/>
  <c r="W604" i="1"/>
  <c r="W650" i="1"/>
  <c r="W670" i="1"/>
  <c r="W648" i="1"/>
  <c r="W638" i="1"/>
  <c r="W629" i="1"/>
  <c r="W666" i="1"/>
  <c r="W668" i="1"/>
  <c r="W633" i="1"/>
  <c r="W665" i="1"/>
  <c r="W635" i="1"/>
  <c r="W662" i="1"/>
  <c r="W664" i="1"/>
  <c r="W619" i="1"/>
  <c r="W618" i="1"/>
  <c r="W621" i="1"/>
  <c r="W616" i="1"/>
  <c r="W673" i="1"/>
  <c r="W626" i="1"/>
  <c r="W620" i="1"/>
  <c r="W603" i="1"/>
  <c r="W637" i="1"/>
  <c r="W614" i="1"/>
  <c r="W646" i="1"/>
  <c r="W636" i="1"/>
  <c r="W622" i="1"/>
  <c r="W644" i="1"/>
  <c r="W642" i="1"/>
  <c r="W645" i="1"/>
  <c r="W612" i="1"/>
  <c r="W606" i="1"/>
  <c r="W632" i="1"/>
  <c r="W617" i="1"/>
  <c r="W649" i="1"/>
  <c r="W605" i="1"/>
  <c r="W647" i="1"/>
  <c r="W656" i="1"/>
  <c r="W661" i="1"/>
  <c r="W607" i="1"/>
  <c r="W624" i="1"/>
  <c r="W657" i="1"/>
  <c r="W654" i="1"/>
  <c r="W655" i="1"/>
  <c r="W641" i="1"/>
  <c r="W652" i="1"/>
  <c r="W651" i="1"/>
  <c r="W627" i="1"/>
  <c r="W628" i="1"/>
  <c r="W640" i="1"/>
  <c r="W608" i="1"/>
  <c r="W602" i="1"/>
  <c r="W653" i="1"/>
  <c r="W610" i="1"/>
  <c r="W609" i="1"/>
  <c r="W630" i="1"/>
  <c r="W611" i="1"/>
  <c r="W658" i="1"/>
  <c r="W634" i="1"/>
  <c r="W600" i="1"/>
  <c r="W625" i="1"/>
  <c r="W598" i="1"/>
  <c r="W561" i="1"/>
  <c r="W570" i="1"/>
  <c r="W565" i="1"/>
  <c r="W594" i="1"/>
  <c r="W581" i="1"/>
  <c r="W596" i="1"/>
  <c r="W597" i="1"/>
  <c r="W571" i="1"/>
  <c r="W593" i="1"/>
  <c r="W595" i="1"/>
  <c r="W568" i="1"/>
  <c r="W569" i="1"/>
  <c r="W579" i="1"/>
  <c r="W574" i="1"/>
  <c r="W592" i="1"/>
  <c r="W588" i="1"/>
  <c r="W587" i="1"/>
  <c r="W567" i="1"/>
  <c r="W566" i="1"/>
  <c r="W564" i="1"/>
  <c r="W560" i="1"/>
  <c r="W577" i="1"/>
  <c r="W576" i="1"/>
  <c r="W586" i="1"/>
  <c r="W423" i="1"/>
  <c r="W550" i="1"/>
  <c r="W558" i="1"/>
  <c r="W551" i="1"/>
  <c r="W549" i="1"/>
  <c r="W542" i="1"/>
  <c r="W497" i="1"/>
  <c r="W467" i="1"/>
  <c r="W548" i="1"/>
  <c r="W553" i="1"/>
  <c r="W514" i="1"/>
  <c r="W490" i="1"/>
  <c r="W486" i="1"/>
  <c r="W535" i="1"/>
  <c r="W462" i="1"/>
  <c r="W479" i="1"/>
  <c r="W557" i="1"/>
  <c r="W433" i="1"/>
  <c r="W510" i="1"/>
  <c r="W451" i="1"/>
  <c r="W438" i="1"/>
  <c r="W459" i="1"/>
  <c r="W455" i="1"/>
  <c r="W439" i="1"/>
  <c r="W460" i="1"/>
  <c r="W501" i="1"/>
  <c r="W470" i="1"/>
  <c r="W496" i="1"/>
  <c r="W478" i="1"/>
  <c r="W539" i="1"/>
  <c r="W473" i="1"/>
  <c r="W527" i="1"/>
  <c r="W533" i="1"/>
  <c r="W474" i="1"/>
  <c r="W516" i="1"/>
  <c r="W532" i="1"/>
  <c r="W534" i="1"/>
  <c r="W506" i="1"/>
  <c r="W447" i="1"/>
  <c r="W434" i="1"/>
  <c r="W453" i="1"/>
  <c r="W475" i="1"/>
  <c r="W477" i="1"/>
  <c r="W492" i="1"/>
  <c r="W443" i="1"/>
  <c r="W449" i="1"/>
  <c r="W426" i="1"/>
  <c r="W422" i="1"/>
  <c r="W484" i="1"/>
  <c r="W554" i="1"/>
  <c r="W518" i="1"/>
  <c r="W421" i="1"/>
  <c r="W420" i="1"/>
  <c r="W481" i="1"/>
  <c r="W546" i="1"/>
  <c r="W541" i="1"/>
  <c r="W552" i="1"/>
  <c r="W547" i="1"/>
  <c r="W545" i="1"/>
  <c r="W513" i="1"/>
  <c r="W530" i="1"/>
  <c r="W499" i="1"/>
  <c r="W476" i="1"/>
  <c r="W531" i="1"/>
  <c r="W427" i="1"/>
  <c r="W446" i="1"/>
  <c r="W441" i="1"/>
  <c r="W500" i="1"/>
  <c r="W458" i="1"/>
  <c r="W430" i="1"/>
  <c r="W472" i="1"/>
  <c r="W488" i="1"/>
  <c r="W442" i="1"/>
  <c r="W468" i="1"/>
  <c r="W456" i="1"/>
  <c r="W466" i="1"/>
  <c r="W465" i="1"/>
  <c r="W469" i="1"/>
  <c r="W489" i="1"/>
  <c r="W464" i="1"/>
  <c r="W429" i="1"/>
  <c r="W544" i="1"/>
  <c r="W452" i="1"/>
  <c r="W529" i="1"/>
  <c r="W457" i="1"/>
  <c r="W502" i="1"/>
  <c r="W436" i="1"/>
  <c r="W454" i="1"/>
  <c r="W503" i="1"/>
  <c r="W445" i="1"/>
  <c r="W424" i="1"/>
  <c r="W461" i="1"/>
  <c r="W538" i="1"/>
  <c r="W494" i="1"/>
  <c r="W536" i="1"/>
  <c r="W444" i="1"/>
  <c r="W435" i="1"/>
  <c r="W309" i="1"/>
  <c r="W313" i="1"/>
  <c r="W334" i="1"/>
  <c r="W333" i="1"/>
  <c r="W312" i="1"/>
  <c r="W413" i="1"/>
  <c r="W340" i="1"/>
  <c r="W320" i="1"/>
  <c r="W316" i="1"/>
  <c r="W354" i="1"/>
  <c r="W317" i="1"/>
  <c r="W314" i="1"/>
  <c r="W409" i="1"/>
  <c r="W318" i="1"/>
  <c r="W386" i="1"/>
  <c r="W414" i="1"/>
  <c r="W407" i="1"/>
  <c r="W346" i="1"/>
  <c r="W376" i="1"/>
  <c r="W371" i="1"/>
  <c r="W418" i="1"/>
  <c r="W415" i="1"/>
  <c r="W345" i="1"/>
  <c r="W412" i="1"/>
  <c r="W356" i="1"/>
  <c r="W397" i="1"/>
  <c r="W408" i="1"/>
  <c r="W337" i="1"/>
  <c r="W405" i="1"/>
  <c r="W327" i="1"/>
  <c r="W403" i="1"/>
  <c r="W349" i="1"/>
  <c r="W339" i="1"/>
  <c r="W380" i="1"/>
  <c r="W400" i="1"/>
  <c r="W369" i="1"/>
  <c r="W373" i="1"/>
  <c r="W368" i="1"/>
  <c r="W391" i="1"/>
  <c r="W385" i="1"/>
  <c r="W363" i="1"/>
  <c r="W322" i="1"/>
  <c r="W367" i="1"/>
  <c r="W417" i="1"/>
  <c r="W358" i="1"/>
  <c r="W326" i="1"/>
  <c r="W366" i="1"/>
  <c r="W323" i="1"/>
  <c r="W352" i="1"/>
  <c r="W325" i="1"/>
  <c r="W347" i="1"/>
  <c r="W370" i="1"/>
  <c r="W328" i="1"/>
  <c r="W351" i="1"/>
  <c r="W361" i="1"/>
  <c r="W381" i="1"/>
  <c r="W344" i="1"/>
  <c r="W416" i="1"/>
  <c r="W375" i="1"/>
  <c r="W332" i="1"/>
  <c r="W321" i="1"/>
  <c r="W357" i="1"/>
  <c r="W342" i="1"/>
  <c r="W401" i="1"/>
  <c r="W359" i="1"/>
  <c r="W343" i="1"/>
  <c r="W315" i="1"/>
  <c r="W402" i="1"/>
  <c r="W365" i="1"/>
  <c r="W329" i="1"/>
  <c r="W394" i="1"/>
  <c r="W331" i="1"/>
  <c r="W330" i="1"/>
  <c r="W393" i="1"/>
  <c r="W379" i="1"/>
  <c r="W335" i="1"/>
  <c r="W324" i="1"/>
  <c r="W348" i="1"/>
  <c r="W338" i="1"/>
  <c r="W383" i="1"/>
  <c r="W336" i="1"/>
  <c r="W353" i="1"/>
  <c r="W372" i="1"/>
  <c r="W268" i="1"/>
  <c r="W287" i="1"/>
  <c r="W275" i="1"/>
  <c r="W222" i="1"/>
  <c r="W162" i="1"/>
  <c r="W236" i="1"/>
  <c r="W296" i="1"/>
  <c r="W304" i="1"/>
  <c r="W295" i="1"/>
  <c r="W303" i="1"/>
  <c r="W292" i="1"/>
  <c r="W284" i="1"/>
  <c r="W279" i="1"/>
  <c r="W276" i="1"/>
  <c r="W277" i="1"/>
  <c r="W281" i="1"/>
  <c r="W234" i="1"/>
  <c r="W260" i="1"/>
  <c r="W226" i="1"/>
  <c r="W255" i="1"/>
  <c r="W224" i="1"/>
  <c r="W230" i="1"/>
  <c r="W302" i="1"/>
  <c r="W213" i="1"/>
  <c r="W300" i="1"/>
  <c r="W163" i="1"/>
  <c r="W204" i="1"/>
  <c r="W299" i="1"/>
  <c r="W210" i="1"/>
  <c r="W288" i="1"/>
  <c r="W158" i="1"/>
  <c r="W192" i="1"/>
  <c r="W166" i="1"/>
  <c r="W190" i="1"/>
  <c r="W289" i="1"/>
  <c r="W261" i="1"/>
  <c r="W270" i="1"/>
  <c r="W214" i="1"/>
  <c r="W196" i="1"/>
  <c r="W187" i="1"/>
  <c r="W293" i="1"/>
  <c r="W290" i="1"/>
  <c r="W220" i="1"/>
  <c r="W263" i="1"/>
  <c r="W280" i="1"/>
  <c r="W241" i="1"/>
  <c r="W188" i="1"/>
  <c r="W205" i="1"/>
  <c r="W209" i="1"/>
  <c r="W160" i="1"/>
  <c r="W177" i="1"/>
  <c r="W200" i="1"/>
  <c r="W182" i="1"/>
  <c r="W266" i="1"/>
  <c r="W272" i="1"/>
  <c r="W208" i="1"/>
  <c r="W181" i="1"/>
  <c r="W203" i="1"/>
  <c r="W202" i="1"/>
  <c r="W180" i="1"/>
  <c r="W212" i="1"/>
  <c r="W252" i="1"/>
  <c r="W245" i="1"/>
  <c r="W240" i="1"/>
  <c r="W170" i="1"/>
  <c r="W185" i="1"/>
  <c r="W215" i="1"/>
  <c r="W186" i="1"/>
  <c r="W168" i="1"/>
  <c r="W193" i="1"/>
  <c r="W159" i="1"/>
  <c r="W306" i="1"/>
  <c r="W305" i="1"/>
  <c r="W218" i="1"/>
  <c r="W232" i="1"/>
  <c r="W249" i="1"/>
  <c r="W172" i="1"/>
  <c r="W247" i="1"/>
  <c r="W239" i="1"/>
  <c r="W219" i="1"/>
  <c r="W157" i="1"/>
  <c r="W127" i="1"/>
  <c r="W140" i="1"/>
  <c r="W132" i="1"/>
  <c r="W144" i="1"/>
  <c r="W128" i="1"/>
  <c r="W124" i="1"/>
  <c r="W134" i="1"/>
  <c r="W126" i="1"/>
  <c r="W123" i="1"/>
  <c r="W130" i="1"/>
  <c r="W133" i="1"/>
  <c r="W142" i="1"/>
  <c r="W152" i="1"/>
  <c r="W125" i="1"/>
  <c r="W141" i="1"/>
  <c r="W139" i="1"/>
  <c r="W136" i="1"/>
  <c r="W137" i="1"/>
  <c r="W131" i="1"/>
  <c r="W145" i="1"/>
  <c r="W153" i="1"/>
  <c r="W151" i="1"/>
  <c r="W149" i="1"/>
  <c r="W146" i="1"/>
  <c r="W118" i="1"/>
  <c r="W16" i="1"/>
  <c r="W120" i="1"/>
  <c r="W72" i="1"/>
  <c r="W121" i="1"/>
  <c r="W7" i="1"/>
  <c r="W62" i="1"/>
  <c r="W69" i="1"/>
  <c r="W63" i="1"/>
  <c r="W58" i="1"/>
  <c r="W50" i="1"/>
  <c r="W53" i="1"/>
  <c r="W52" i="1"/>
  <c r="W51" i="1"/>
  <c r="W47" i="1"/>
  <c r="W37" i="1"/>
  <c r="W98" i="1"/>
  <c r="W11" i="1"/>
  <c r="W61" i="1"/>
  <c r="W95" i="1"/>
  <c r="W60" i="1"/>
  <c r="W20" i="1"/>
  <c r="W87" i="1"/>
  <c r="W55" i="1"/>
  <c r="W57" i="1"/>
  <c r="W35" i="1"/>
  <c r="W4" i="1"/>
  <c r="W82" i="1"/>
  <c r="W43" i="1"/>
  <c r="W29" i="1"/>
  <c r="W28" i="1"/>
  <c r="W14" i="1"/>
  <c r="W17" i="1"/>
  <c r="W115" i="1"/>
  <c r="W105" i="1"/>
  <c r="W24" i="1"/>
  <c r="W12" i="1"/>
  <c r="W104" i="1"/>
  <c r="W26" i="1"/>
  <c r="W42" i="1"/>
  <c r="W101" i="1"/>
  <c r="W83" i="1"/>
  <c r="W91" i="1"/>
  <c r="W64" i="1"/>
  <c r="W92" i="1"/>
  <c r="W100" i="1"/>
  <c r="W22" i="1"/>
  <c r="W112" i="1"/>
  <c r="W25" i="1"/>
  <c r="W107" i="1"/>
  <c r="W5" i="1"/>
  <c r="W111" i="1"/>
  <c r="W31" i="1"/>
  <c r="W71" i="1"/>
  <c r="W76" i="1"/>
  <c r="W81" i="1"/>
  <c r="W74" i="1"/>
  <c r="W6" i="1"/>
  <c r="W116" i="1"/>
  <c r="W8" i="1"/>
  <c r="W3" i="1"/>
  <c r="W78" i="1"/>
  <c r="W34" i="1"/>
  <c r="W68" i="1"/>
  <c r="W73" i="1"/>
  <c r="W80" i="1"/>
  <c r="W15" i="1"/>
  <c r="W117" i="1"/>
  <c r="W114" i="1"/>
  <c r="W40" i="1"/>
  <c r="W90" i="1"/>
  <c r="W39" i="1"/>
  <c r="W110" i="1"/>
  <c r="W109" i="1"/>
  <c r="W48" i="1"/>
  <c r="W113" i="1"/>
  <c r="W49" i="1"/>
  <c r="W46" i="1"/>
  <c r="W67" i="1"/>
  <c r="W30" i="1"/>
  <c r="W56" i="1"/>
  <c r="W103" i="1"/>
  <c r="W89" i="1"/>
  <c r="W97" i="1"/>
  <c r="W88" i="1"/>
  <c r="W21" i="1"/>
  <c r="W70" i="1"/>
  <c r="S753" i="1"/>
  <c r="T753" i="1" s="1"/>
  <c r="S723" i="1"/>
  <c r="T723" i="1" s="1"/>
  <c r="S687" i="1"/>
  <c r="T687" i="1" s="1"/>
  <c r="S719" i="1"/>
  <c r="T719" i="1" s="1"/>
  <c r="S698" i="1"/>
  <c r="T698" i="1" s="1"/>
  <c r="S721" i="1"/>
  <c r="T721" i="1" s="1"/>
  <c r="S676" i="1"/>
  <c r="T676" i="1" s="1"/>
  <c r="S722" i="1"/>
  <c r="T722" i="1" s="1"/>
  <c r="S681" i="1"/>
  <c r="T681" i="1" s="1"/>
  <c r="S685" i="1"/>
  <c r="T685" i="1" s="1"/>
  <c r="S690" i="1"/>
  <c r="T690" i="1" s="1"/>
  <c r="S684" i="1"/>
  <c r="T684" i="1" s="1"/>
  <c r="S677" i="1"/>
  <c r="T677" i="1" s="1"/>
  <c r="S697" i="1"/>
  <c r="T697" i="1" s="1"/>
  <c r="S688" i="1"/>
  <c r="T688" i="1" s="1"/>
  <c r="S693" i="1"/>
  <c r="T693" i="1" s="1"/>
  <c r="S709" i="1"/>
  <c r="T709" i="1" s="1"/>
  <c r="S714" i="1"/>
  <c r="T714" i="1" s="1"/>
  <c r="S718" i="1"/>
  <c r="T718" i="1" s="1"/>
  <c r="S680" i="1"/>
  <c r="T680" i="1" s="1"/>
  <c r="S712" i="1"/>
  <c r="T712" i="1" s="1"/>
  <c r="S678" i="1"/>
  <c r="T678" i="1" s="1"/>
  <c r="S701" i="1"/>
  <c r="T701" i="1" s="1"/>
  <c r="S699" i="1"/>
  <c r="T699" i="1" s="1"/>
  <c r="S702" i="1"/>
  <c r="T702" i="1" s="1"/>
  <c r="S710" i="1"/>
  <c r="T710" i="1" s="1"/>
  <c r="S720" i="1"/>
  <c r="T720" i="1" s="1"/>
  <c r="S703" i="1"/>
  <c r="T703" i="1" s="1"/>
  <c r="S713" i="1"/>
  <c r="T713" i="1" s="1"/>
  <c r="S682" i="1"/>
  <c r="T682" i="1" s="1"/>
  <c r="S696" i="1"/>
  <c r="T696" i="1" s="1"/>
  <c r="S689" i="1"/>
  <c r="T689" i="1" s="1"/>
  <c r="J70" i="1"/>
  <c r="J21" i="1"/>
  <c r="J88" i="1"/>
  <c r="J97" i="1"/>
  <c r="J89" i="1"/>
  <c r="J93" i="1"/>
  <c r="R93" i="1" s="1"/>
  <c r="J103" i="1"/>
  <c r="J56" i="1"/>
  <c r="J30" i="1"/>
  <c r="J67" i="1"/>
  <c r="J46" i="1"/>
  <c r="J49" i="1"/>
  <c r="J113" i="1"/>
  <c r="J48" i="1"/>
  <c r="J109" i="1"/>
  <c r="J110" i="1"/>
  <c r="J39" i="1"/>
  <c r="J90" i="1"/>
  <c r="J40" i="1"/>
  <c r="J114" i="1"/>
  <c r="J117" i="1"/>
  <c r="J59" i="1"/>
  <c r="R59" i="1" s="1"/>
  <c r="J85" i="1"/>
  <c r="J54" i="1"/>
  <c r="R54" i="1" s="1"/>
  <c r="J23" i="1"/>
  <c r="R23" i="1" s="1"/>
  <c r="J15" i="1"/>
  <c r="J80" i="1"/>
  <c r="J79" i="1"/>
  <c r="R79" i="1" s="1"/>
  <c r="J73" i="1"/>
  <c r="J68" i="1"/>
  <c r="J86" i="1"/>
  <c r="J34" i="1"/>
  <c r="J78" i="1"/>
  <c r="J3" i="1"/>
  <c r="J122" i="1" s="1"/>
  <c r="H7" i="2" s="1"/>
  <c r="J8" i="1"/>
  <c r="J10" i="1"/>
  <c r="J116" i="1"/>
  <c r="J45" i="1"/>
  <c r="J6" i="1"/>
  <c r="J13" i="1"/>
  <c r="J74" i="1"/>
  <c r="J33" i="1"/>
  <c r="J38" i="1"/>
  <c r="J18" i="1"/>
  <c r="J19" i="1"/>
  <c r="J81" i="1"/>
  <c r="J76" i="1"/>
  <c r="J71" i="1"/>
  <c r="J77" i="1"/>
  <c r="J44" i="1"/>
  <c r="J341" i="1"/>
  <c r="J31" i="1"/>
  <c r="J27" i="1"/>
  <c r="J111" i="1"/>
  <c r="J9" i="1"/>
  <c r="J5" i="1"/>
  <c r="J107" i="1"/>
  <c r="J66" i="1"/>
  <c r="J25" i="1"/>
  <c r="J112" i="1"/>
  <c r="J22" i="1"/>
  <c r="J100" i="1"/>
  <c r="J75" i="1"/>
  <c r="J92" i="1"/>
  <c r="J64" i="1"/>
  <c r="J91" i="1"/>
  <c r="J83" i="1"/>
  <c r="J101" i="1"/>
  <c r="J42" i="1"/>
  <c r="J26" i="1"/>
  <c r="J104" i="1"/>
  <c r="J12" i="1"/>
  <c r="J102" i="1"/>
  <c r="J24" i="1"/>
  <c r="J108" i="1"/>
  <c r="J105" i="1"/>
  <c r="J115" i="1"/>
  <c r="J36" i="1"/>
  <c r="J17" i="1"/>
  <c r="J106" i="1"/>
  <c r="J14" i="1"/>
  <c r="J94" i="1"/>
  <c r="J28" i="1"/>
  <c r="J29" i="1"/>
  <c r="J32" i="1"/>
  <c r="J119" i="1"/>
  <c r="J43" i="1"/>
  <c r="J82" i="1"/>
  <c r="J4" i="1"/>
  <c r="J35" i="1"/>
  <c r="J57" i="1"/>
  <c r="J55" i="1"/>
  <c r="J87" i="1"/>
  <c r="J20" i="1"/>
  <c r="J96" i="1"/>
  <c r="J99" i="1"/>
  <c r="J60" i="1"/>
  <c r="J95" i="1"/>
  <c r="J61" i="1"/>
  <c r="J11" i="1"/>
  <c r="J84" i="1"/>
  <c r="J98" i="1"/>
  <c r="J65" i="1"/>
  <c r="J37" i="1"/>
  <c r="J47" i="1"/>
  <c r="J51" i="1"/>
  <c r="J52" i="1"/>
  <c r="J53" i="1"/>
  <c r="J50" i="1"/>
  <c r="J58" i="1"/>
  <c r="J63" i="1"/>
  <c r="J69" i="1"/>
  <c r="J62" i="1"/>
  <c r="J7" i="1"/>
  <c r="J121" i="1"/>
  <c r="J72" i="1"/>
  <c r="J120" i="1"/>
  <c r="J16" i="1"/>
  <c r="J118" i="1"/>
  <c r="J146" i="1"/>
  <c r="J149" i="1"/>
  <c r="J151" i="1"/>
  <c r="J153" i="1"/>
  <c r="J145" i="1"/>
  <c r="J131" i="1"/>
  <c r="J137" i="1"/>
  <c r="J129" i="1"/>
  <c r="J136" i="1"/>
  <c r="J139" i="1"/>
  <c r="J147" i="1"/>
  <c r="J141" i="1"/>
  <c r="J125" i="1"/>
  <c r="J152" i="1"/>
  <c r="J142" i="1"/>
  <c r="J150" i="1"/>
  <c r="J143" i="1"/>
  <c r="J133" i="1"/>
  <c r="J130" i="1"/>
  <c r="J123" i="1"/>
  <c r="J154" i="1" s="1"/>
  <c r="H8" i="2" s="1"/>
  <c r="J138" i="1"/>
  <c r="J126" i="1"/>
  <c r="J134" i="1"/>
  <c r="J124" i="1"/>
  <c r="J128" i="1"/>
  <c r="J148" i="1"/>
  <c r="J144" i="1"/>
  <c r="J132" i="1"/>
  <c r="J140" i="1"/>
  <c r="J127" i="1"/>
  <c r="J157" i="1"/>
  <c r="J183" i="1"/>
  <c r="J227" i="1"/>
  <c r="J194" i="1"/>
  <c r="J219" i="1"/>
  <c r="J243" i="1"/>
  <c r="J239" i="1"/>
  <c r="J247" i="1"/>
  <c r="J244" i="1"/>
  <c r="J172" i="1"/>
  <c r="J249" i="1"/>
  <c r="J269" i="1"/>
  <c r="J232" i="1"/>
  <c r="J218" i="1"/>
  <c r="J305" i="1"/>
  <c r="J306" i="1"/>
  <c r="J207" i="1"/>
  <c r="J159" i="1"/>
  <c r="J193" i="1"/>
  <c r="J168" i="1"/>
  <c r="J186" i="1"/>
  <c r="J215" i="1"/>
  <c r="J185" i="1"/>
  <c r="J217" i="1"/>
  <c r="J211" i="1"/>
  <c r="J184" i="1"/>
  <c r="J170" i="1"/>
  <c r="J201" i="1"/>
  <c r="J240" i="1"/>
  <c r="J199" i="1"/>
  <c r="J176" i="1"/>
  <c r="J198" i="1"/>
  <c r="J191" i="1"/>
  <c r="J245" i="1"/>
  <c r="J252" i="1"/>
  <c r="J212" i="1"/>
  <c r="J180" i="1"/>
  <c r="J174" i="1"/>
  <c r="J202" i="1"/>
  <c r="J203" i="1"/>
  <c r="J181" i="1"/>
  <c r="J208" i="1"/>
  <c r="J206" i="1"/>
  <c r="J272" i="1"/>
  <c r="J266" i="1"/>
  <c r="J182" i="1"/>
  <c r="J167" i="1"/>
  <c r="J200" i="1"/>
  <c r="J177" i="1"/>
  <c r="J171" i="1"/>
  <c r="J173" i="1"/>
  <c r="J160" i="1"/>
  <c r="J197" i="1"/>
  <c r="J286" i="1"/>
  <c r="J209" i="1"/>
  <c r="J155" i="1"/>
  <c r="J308" i="1" s="1"/>
  <c r="H9" i="2" s="1"/>
  <c r="J205" i="1"/>
  <c r="J188" i="1"/>
  <c r="J169" i="1"/>
  <c r="J237" i="1"/>
  <c r="J241" i="1"/>
  <c r="J280" i="1"/>
  <c r="J263" i="1"/>
  <c r="J267" i="1"/>
  <c r="J178" i="1"/>
  <c r="J262" i="1"/>
  <c r="J220" i="1"/>
  <c r="J291" i="1"/>
  <c r="J298" i="1"/>
  <c r="J290" i="1"/>
  <c r="J293" i="1"/>
  <c r="J156" i="1"/>
  <c r="J195" i="1"/>
  <c r="J264" i="1"/>
  <c r="J258" i="1"/>
  <c r="J187" i="1"/>
  <c r="J196" i="1"/>
  <c r="J214" i="1"/>
  <c r="J270" i="1"/>
  <c r="J261" i="1"/>
  <c r="J273" i="1"/>
  <c r="J289" i="1"/>
  <c r="J135" i="1"/>
  <c r="J190" i="1"/>
  <c r="J166" i="1"/>
  <c r="J164" i="1"/>
  <c r="J192" i="1"/>
  <c r="J175" i="1"/>
  <c r="J189" i="1"/>
  <c r="J251" i="1"/>
  <c r="J221" i="1"/>
  <c r="J158" i="1"/>
  <c r="J301" i="1"/>
  <c r="J288" i="1"/>
  <c r="J294" i="1"/>
  <c r="J161" i="1"/>
  <c r="J210" i="1"/>
  <c r="J299" i="1"/>
  <c r="J204" i="1"/>
  <c r="J179" i="1"/>
  <c r="J216" i="1"/>
  <c r="J163" i="1"/>
  <c r="J165" i="1"/>
  <c r="J300" i="1"/>
  <c r="J285" i="1"/>
  <c r="J213" i="1"/>
  <c r="J302" i="1"/>
  <c r="J228" i="1"/>
  <c r="J223" i="1"/>
  <c r="J230" i="1"/>
  <c r="J229" i="1"/>
  <c r="J224" i="1"/>
  <c r="J250" i="1"/>
  <c r="J257" i="1"/>
  <c r="J233" i="1"/>
  <c r="J255" i="1"/>
  <c r="J265" i="1"/>
  <c r="J253" i="1"/>
  <c r="J226" i="1"/>
  <c r="J235" i="1"/>
  <c r="J283" i="1"/>
  <c r="J260" i="1"/>
  <c r="J278" i="1"/>
  <c r="J234" i="1"/>
  <c r="J281" i="1"/>
  <c r="J277" i="1"/>
  <c r="J276" i="1"/>
  <c r="J259" i="1"/>
  <c r="J279" i="1"/>
  <c r="J282" i="1"/>
  <c r="J284" i="1"/>
  <c r="J297" i="1"/>
  <c r="J292" i="1"/>
  <c r="J303" i="1"/>
  <c r="J295" i="1"/>
  <c r="J304" i="1"/>
  <c r="J296" i="1"/>
  <c r="J225" i="1"/>
  <c r="J231" i="1"/>
  <c r="J238" i="1"/>
  <c r="J236" i="1"/>
  <c r="J242" i="1"/>
  <c r="J162" i="1"/>
  <c r="J222" i="1"/>
  <c r="J248" i="1"/>
  <c r="R248" i="1" s="1"/>
  <c r="J254" i="1"/>
  <c r="R254" i="1" s="1"/>
  <c r="J246" i="1"/>
  <c r="R246" i="1" s="1"/>
  <c r="J275" i="1"/>
  <c r="J287" i="1"/>
  <c r="J271" i="1"/>
  <c r="R271" i="1" s="1"/>
  <c r="J256" i="1"/>
  <c r="R256" i="1" s="1"/>
  <c r="J268" i="1"/>
  <c r="J307" i="1"/>
  <c r="R307" i="1" s="1"/>
  <c r="J274" i="1"/>
  <c r="R274" i="1" s="1"/>
  <c r="J372" i="1"/>
  <c r="J353" i="1"/>
  <c r="J336" i="1"/>
  <c r="J383" i="1"/>
  <c r="J338" i="1"/>
  <c r="J392" i="1"/>
  <c r="R392" i="1" s="1"/>
  <c r="J348" i="1"/>
  <c r="J324" i="1"/>
  <c r="J335" i="1"/>
  <c r="J379" i="1"/>
  <c r="J393" i="1"/>
  <c r="J330" i="1"/>
  <c r="J331" i="1"/>
  <c r="J394" i="1"/>
  <c r="J329" i="1"/>
  <c r="J319" i="1"/>
  <c r="R319" i="1" s="1"/>
  <c r="J399" i="1"/>
  <c r="R399" i="1" s="1"/>
  <c r="J365" i="1"/>
  <c r="J402" i="1"/>
  <c r="J350" i="1"/>
  <c r="J315" i="1"/>
  <c r="J343" i="1"/>
  <c r="J310" i="1"/>
  <c r="R310" i="1" s="1"/>
  <c r="J359" i="1"/>
  <c r="J401" i="1"/>
  <c r="J342" i="1"/>
  <c r="J362" i="1"/>
  <c r="R362" i="1" s="1"/>
  <c r="J357" i="1"/>
  <c r="J374" i="1"/>
  <c r="R374" i="1" s="1"/>
  <c r="J321" i="1"/>
  <c r="J332" i="1"/>
  <c r="J375" i="1"/>
  <c r="J416" i="1"/>
  <c r="J344" i="1"/>
  <c r="J381" i="1"/>
  <c r="J361" i="1"/>
  <c r="J378" i="1"/>
  <c r="R378" i="1" s="1"/>
  <c r="J351" i="1"/>
  <c r="J328" i="1"/>
  <c r="J384" i="1"/>
  <c r="R384" i="1" s="1"/>
  <c r="J370" i="1"/>
  <c r="J390" i="1"/>
  <c r="R390" i="1" s="1"/>
  <c r="J347" i="1"/>
  <c r="J388" i="1"/>
  <c r="R388" i="1" s="1"/>
  <c r="J404" i="1"/>
  <c r="R404" i="1" s="1"/>
  <c r="J325" i="1"/>
  <c r="J377" i="1"/>
  <c r="R377" i="1" s="1"/>
  <c r="J352" i="1"/>
  <c r="J323" i="1"/>
  <c r="J366" i="1"/>
  <c r="J326" i="1"/>
  <c r="J358" i="1"/>
  <c r="J417" i="1"/>
  <c r="J364" i="1"/>
  <c r="J355" i="1"/>
  <c r="R355" i="1" s="1"/>
  <c r="J387" i="1"/>
  <c r="R387" i="1" s="1"/>
  <c r="J367" i="1"/>
  <c r="J322" i="1"/>
  <c r="J363" i="1"/>
  <c r="J389" i="1"/>
  <c r="R389" i="1" s="1"/>
  <c r="J382" i="1"/>
  <c r="J385" i="1"/>
  <c r="J391" i="1"/>
  <c r="J368" i="1"/>
  <c r="J373" i="1"/>
  <c r="J369" i="1"/>
  <c r="J400" i="1"/>
  <c r="J380" i="1"/>
  <c r="J339" i="1"/>
  <c r="J349" i="1"/>
  <c r="J403" i="1"/>
  <c r="J327" i="1"/>
  <c r="J405" i="1"/>
  <c r="J337" i="1"/>
  <c r="J395" i="1"/>
  <c r="R395" i="1" s="1"/>
  <c r="J408" i="1"/>
  <c r="J397" i="1"/>
  <c r="J356" i="1"/>
  <c r="J412" i="1"/>
  <c r="J345" i="1"/>
  <c r="J415" i="1"/>
  <c r="J418" i="1"/>
  <c r="J371" i="1"/>
  <c r="J376" i="1"/>
  <c r="J346" i="1"/>
  <c r="J407" i="1"/>
  <c r="J414" i="1"/>
  <c r="J311" i="1"/>
  <c r="R311" i="1" s="1"/>
  <c r="J386" i="1"/>
  <c r="J318" i="1"/>
  <c r="J396" i="1"/>
  <c r="R396" i="1" s="1"/>
  <c r="J411" i="1"/>
  <c r="R411" i="1" s="1"/>
  <c r="J406" i="1"/>
  <c r="R406" i="1" s="1"/>
  <c r="J410" i="1"/>
  <c r="R410" i="1" s="1"/>
  <c r="J409" i="1"/>
  <c r="J314" i="1"/>
  <c r="J317" i="1"/>
  <c r="J398" i="1"/>
  <c r="R398" i="1" s="1"/>
  <c r="J354" i="1"/>
  <c r="J316" i="1"/>
  <c r="J320" i="1"/>
  <c r="J340" i="1"/>
  <c r="J413" i="1"/>
  <c r="J312" i="1"/>
  <c r="J333" i="1"/>
  <c r="J334" i="1"/>
  <c r="J313" i="1"/>
  <c r="J360" i="1"/>
  <c r="R360" i="1" s="1"/>
  <c r="J309" i="1"/>
  <c r="J419" i="1" s="1"/>
  <c r="H10" i="2" s="1"/>
  <c r="J435" i="1"/>
  <c r="J444" i="1"/>
  <c r="J536" i="1"/>
  <c r="J511" i="1"/>
  <c r="R511" i="1" s="1"/>
  <c r="J494" i="1"/>
  <c r="J538" i="1"/>
  <c r="J491" i="1"/>
  <c r="R491" i="1" s="1"/>
  <c r="J461" i="1"/>
  <c r="J493" i="1"/>
  <c r="R493" i="1" s="1"/>
  <c r="J424" i="1"/>
  <c r="J445" i="1"/>
  <c r="J503" i="1"/>
  <c r="J454" i="1"/>
  <c r="J495" i="1"/>
  <c r="R495" i="1" s="1"/>
  <c r="J436" i="1"/>
  <c r="J502" i="1"/>
  <c r="J457" i="1"/>
  <c r="J519" i="1"/>
  <c r="R519" i="1" s="1"/>
  <c r="J526" i="1"/>
  <c r="R526" i="1" s="1"/>
  <c r="J529" i="1"/>
  <c r="J517" i="1"/>
  <c r="R517" i="1" s="1"/>
  <c r="J522" i="1"/>
  <c r="R522" i="1" s="1"/>
  <c r="J523" i="1"/>
  <c r="R523" i="1" s="1"/>
  <c r="J485" i="1"/>
  <c r="R485" i="1" s="1"/>
  <c r="J508" i="1"/>
  <c r="R508" i="1" s="1"/>
  <c r="J450" i="1"/>
  <c r="R450" i="1" s="1"/>
  <c r="J521" i="1"/>
  <c r="R521" i="1" s="1"/>
  <c r="J428" i="1"/>
  <c r="R428" i="1" s="1"/>
  <c r="J452" i="1"/>
  <c r="J544" i="1"/>
  <c r="J429" i="1"/>
  <c r="J464" i="1"/>
  <c r="J489" i="1"/>
  <c r="J469" i="1"/>
  <c r="J465" i="1"/>
  <c r="J466" i="1"/>
  <c r="J456" i="1"/>
  <c r="J468" i="1"/>
  <c r="J442" i="1"/>
  <c r="J528" i="1"/>
  <c r="R528" i="1" s="1"/>
  <c r="J488" i="1"/>
  <c r="J525" i="1"/>
  <c r="R525" i="1" s="1"/>
  <c r="J472" i="1"/>
  <c r="J515" i="1"/>
  <c r="R515" i="1" s="1"/>
  <c r="J524" i="1"/>
  <c r="R524" i="1" s="1"/>
  <c r="J430" i="1"/>
  <c r="J520" i="1"/>
  <c r="R520" i="1" s="1"/>
  <c r="J458" i="1"/>
  <c r="J500" i="1"/>
  <c r="J441" i="1"/>
  <c r="J540" i="1"/>
  <c r="R540" i="1" s="1"/>
  <c r="J446" i="1"/>
  <c r="J427" i="1"/>
  <c r="J531" i="1"/>
  <c r="J463" i="1"/>
  <c r="R463" i="1" s="1"/>
  <c r="J504" i="1"/>
  <c r="R504" i="1" s="1"/>
  <c r="J480" i="1"/>
  <c r="R480" i="1" s="1"/>
  <c r="J476" i="1"/>
  <c r="J425" i="1"/>
  <c r="R425" i="1" s="1"/>
  <c r="J509" i="1"/>
  <c r="R509" i="1" s="1"/>
  <c r="J499" i="1"/>
  <c r="J530" i="1"/>
  <c r="J543" i="1"/>
  <c r="R543" i="1" s="1"/>
  <c r="J513" i="1"/>
  <c r="J545" i="1"/>
  <c r="J547" i="1"/>
  <c r="J552" i="1"/>
  <c r="J541" i="1"/>
  <c r="J546" i="1"/>
  <c r="J481" i="1"/>
  <c r="J431" i="1"/>
  <c r="R431" i="1" s="1"/>
  <c r="J487" i="1"/>
  <c r="R487" i="1" s="1"/>
  <c r="J420" i="1"/>
  <c r="J559" i="1" s="1"/>
  <c r="H11" i="2" s="1"/>
  <c r="J421" i="1"/>
  <c r="J518" i="1"/>
  <c r="J554" i="1"/>
  <c r="J484" i="1"/>
  <c r="J422" i="1"/>
  <c r="J426" i="1"/>
  <c r="J449" i="1"/>
  <c r="J443" i="1"/>
  <c r="J492" i="1"/>
  <c r="J477" i="1"/>
  <c r="J475" i="1"/>
  <c r="J498" i="1"/>
  <c r="R498" i="1" s="1"/>
  <c r="J453" i="1"/>
  <c r="J505" i="1"/>
  <c r="R505" i="1" s="1"/>
  <c r="J434" i="1"/>
  <c r="J447" i="1"/>
  <c r="J506" i="1"/>
  <c r="J448" i="1"/>
  <c r="R448" i="1" s="1"/>
  <c r="J534" i="1"/>
  <c r="J532" i="1"/>
  <c r="J432" i="1"/>
  <c r="R432" i="1" s="1"/>
  <c r="J516" i="1"/>
  <c r="J537" i="1"/>
  <c r="R537" i="1" s="1"/>
  <c r="J482" i="1"/>
  <c r="R482" i="1" s="1"/>
  <c r="J474" i="1"/>
  <c r="J533" i="1"/>
  <c r="J527" i="1"/>
  <c r="J473" i="1"/>
  <c r="J539" i="1"/>
  <c r="J478" i="1"/>
  <c r="J471" i="1"/>
  <c r="R471" i="1" s="1"/>
  <c r="J483" i="1"/>
  <c r="R483" i="1" s="1"/>
  <c r="J496" i="1"/>
  <c r="J470" i="1"/>
  <c r="J440" i="1"/>
  <c r="R440" i="1" s="1"/>
  <c r="J501" i="1"/>
  <c r="J460" i="1"/>
  <c r="J439" i="1"/>
  <c r="J455" i="1"/>
  <c r="J459" i="1"/>
  <c r="J438" i="1"/>
  <c r="J451" i="1"/>
  <c r="J510" i="1"/>
  <c r="J433" i="1"/>
  <c r="J557" i="1"/>
  <c r="J479" i="1"/>
  <c r="J462" i="1"/>
  <c r="J535" i="1"/>
  <c r="J486" i="1"/>
  <c r="J512" i="1"/>
  <c r="R512" i="1" s="1"/>
  <c r="J490" i="1"/>
  <c r="J514" i="1"/>
  <c r="J553" i="1"/>
  <c r="J548" i="1"/>
  <c r="J467" i="1"/>
  <c r="J507" i="1"/>
  <c r="R507" i="1" s="1"/>
  <c r="J497" i="1"/>
  <c r="J437" i="1"/>
  <c r="R437" i="1" s="1"/>
  <c r="J555" i="1"/>
  <c r="R555" i="1" s="1"/>
  <c r="J542" i="1"/>
  <c r="J556" i="1"/>
  <c r="R556" i="1" s="1"/>
  <c r="J549" i="1"/>
  <c r="J551" i="1"/>
  <c r="J558" i="1"/>
  <c r="J550" i="1"/>
  <c r="J423" i="1"/>
  <c r="J586" i="1"/>
  <c r="J576" i="1"/>
  <c r="J563" i="1"/>
  <c r="R563" i="1" s="1"/>
  <c r="J577" i="1"/>
  <c r="J562" i="1"/>
  <c r="R562" i="1" s="1"/>
  <c r="J560" i="1"/>
  <c r="J564" i="1"/>
  <c r="J566" i="1"/>
  <c r="J567" i="1"/>
  <c r="J587" i="1"/>
  <c r="J588" i="1"/>
  <c r="J589" i="1"/>
  <c r="R589" i="1" s="1"/>
  <c r="J591" i="1"/>
  <c r="J592" i="1"/>
  <c r="J590" i="1"/>
  <c r="R590" i="1" s="1"/>
  <c r="J573" i="1"/>
  <c r="R573" i="1" s="1"/>
  <c r="J574" i="1"/>
  <c r="J572" i="1"/>
  <c r="R572" i="1" s="1"/>
  <c r="J578" i="1"/>
  <c r="R578" i="1" s="1"/>
  <c r="J579" i="1"/>
  <c r="J569" i="1"/>
  <c r="J568" i="1"/>
  <c r="J595" i="1"/>
  <c r="J580" i="1"/>
  <c r="R580" i="1" s="1"/>
  <c r="J584" i="1"/>
  <c r="R584" i="1" s="1"/>
  <c r="J593" i="1"/>
  <c r="J571" i="1"/>
  <c r="J597" i="1"/>
  <c r="J596" i="1"/>
  <c r="J583" i="1"/>
  <c r="R583" i="1" s="1"/>
  <c r="J585" i="1"/>
  <c r="R585" i="1" s="1"/>
  <c r="J582" i="1"/>
  <c r="R582" i="1" s="1"/>
  <c r="J581" i="1"/>
  <c r="J575" i="1"/>
  <c r="R575" i="1" s="1"/>
  <c r="J594" i="1"/>
  <c r="J565" i="1"/>
  <c r="J570" i="1"/>
  <c r="J561" i="1"/>
  <c r="J598" i="1"/>
  <c r="J625" i="1"/>
  <c r="J600" i="1"/>
  <c r="J643" i="1"/>
  <c r="R643" i="1" s="1"/>
  <c r="J660" i="1"/>
  <c r="R660" i="1" s="1"/>
  <c r="J659" i="1"/>
  <c r="R659" i="1" s="1"/>
  <c r="J634" i="1"/>
  <c r="J658" i="1"/>
  <c r="J611" i="1"/>
  <c r="J630" i="1"/>
  <c r="J609" i="1"/>
  <c r="J610" i="1"/>
  <c r="J653" i="1"/>
  <c r="J602" i="1"/>
  <c r="J608" i="1"/>
  <c r="J640" i="1"/>
  <c r="J628" i="1"/>
  <c r="J627" i="1"/>
  <c r="J613" i="1"/>
  <c r="R613" i="1" s="1"/>
  <c r="J651" i="1"/>
  <c r="J652" i="1"/>
  <c r="J641" i="1"/>
  <c r="J655" i="1"/>
  <c r="J654" i="1"/>
  <c r="J657" i="1"/>
  <c r="J624" i="1"/>
  <c r="J607" i="1"/>
  <c r="J661" i="1"/>
  <c r="J656" i="1"/>
  <c r="J647" i="1"/>
  <c r="J605" i="1"/>
  <c r="J639" i="1"/>
  <c r="R639" i="1" s="1"/>
  <c r="J649" i="1"/>
  <c r="J617" i="1"/>
  <c r="J632" i="1"/>
  <c r="J606" i="1"/>
  <c r="J612" i="1"/>
  <c r="J645" i="1"/>
  <c r="J642" i="1"/>
  <c r="J623" i="1"/>
  <c r="R623" i="1" s="1"/>
  <c r="J644" i="1"/>
  <c r="J622" i="1"/>
  <c r="J631" i="1"/>
  <c r="R631" i="1" s="1"/>
  <c r="J636" i="1"/>
  <c r="J646" i="1"/>
  <c r="J615" i="1"/>
  <c r="R615" i="1" s="1"/>
  <c r="J614" i="1"/>
  <c r="J637" i="1"/>
  <c r="J603" i="1"/>
  <c r="J620" i="1"/>
  <c r="J626" i="1"/>
  <c r="J673" i="1"/>
  <c r="J616" i="1"/>
  <c r="J621" i="1"/>
  <c r="J618" i="1"/>
  <c r="J619" i="1"/>
  <c r="J664" i="1"/>
  <c r="J662" i="1"/>
  <c r="J635" i="1"/>
  <c r="J665" i="1"/>
  <c r="J633" i="1"/>
  <c r="J668" i="1"/>
  <c r="J666" i="1"/>
  <c r="J629" i="1"/>
  <c r="J672" i="1"/>
  <c r="R672" i="1" s="1"/>
  <c r="J638" i="1"/>
  <c r="J648" i="1"/>
  <c r="J670" i="1"/>
  <c r="J650" i="1"/>
  <c r="J604" i="1"/>
  <c r="J663" i="1"/>
  <c r="J667" i="1"/>
  <c r="R667" i="1" s="1"/>
  <c r="J601" i="1"/>
  <c r="J671" i="1"/>
  <c r="J669" i="1"/>
  <c r="J707" i="1"/>
  <c r="J691" i="1"/>
  <c r="J705" i="1"/>
  <c r="R705" i="1" s="1"/>
  <c r="J695" i="1"/>
  <c r="J704" i="1"/>
  <c r="J708" i="1"/>
  <c r="J679" i="1"/>
  <c r="J706" i="1"/>
  <c r="J689" i="1"/>
  <c r="R689" i="1" s="1"/>
  <c r="J683" i="1"/>
  <c r="R683" i="1" s="1"/>
  <c r="J694" i="1"/>
  <c r="R694" i="1" s="1"/>
  <c r="J700" i="1"/>
  <c r="R700" i="1" s="1"/>
  <c r="J696" i="1"/>
  <c r="R696" i="1" s="1"/>
  <c r="J682" i="1"/>
  <c r="R682" i="1" s="1"/>
  <c r="J713" i="1"/>
  <c r="R713" i="1" s="1"/>
  <c r="J703" i="1"/>
  <c r="R703" i="1" s="1"/>
  <c r="J686" i="1"/>
  <c r="R686" i="1" s="1"/>
  <c r="J720" i="1"/>
  <c r="R720" i="1" s="1"/>
  <c r="J710" i="1"/>
  <c r="R710" i="1" s="1"/>
  <c r="J702" i="1"/>
  <c r="R702" i="1" s="1"/>
  <c r="J699" i="1"/>
  <c r="R699" i="1" s="1"/>
  <c r="J701" i="1"/>
  <c r="R701" i="1" s="1"/>
  <c r="J678" i="1"/>
  <c r="R678" i="1" s="1"/>
  <c r="J712" i="1"/>
  <c r="R712" i="1" s="1"/>
  <c r="J680" i="1"/>
  <c r="R680" i="1" s="1"/>
  <c r="J718" i="1"/>
  <c r="R718" i="1" s="1"/>
  <c r="J714" i="1"/>
  <c r="R714" i="1" s="1"/>
  <c r="J709" i="1"/>
  <c r="R709" i="1" s="1"/>
  <c r="J693" i="1"/>
  <c r="R693" i="1" s="1"/>
  <c r="J688" i="1"/>
  <c r="R688" i="1" s="1"/>
  <c r="J697" i="1"/>
  <c r="R697" i="1" s="1"/>
  <c r="J692" i="1"/>
  <c r="T692" i="1" s="1"/>
  <c r="J677" i="1"/>
  <c r="R677" i="1" s="1"/>
  <c r="J684" i="1"/>
  <c r="R684" i="1" s="1"/>
  <c r="J690" i="1"/>
  <c r="R690" i="1" s="1"/>
  <c r="J685" i="1"/>
  <c r="R685" i="1" s="1"/>
  <c r="J715" i="1"/>
  <c r="R715" i="1" s="1"/>
  <c r="J716" i="1"/>
  <c r="R716" i="1" s="1"/>
  <c r="J717" i="1"/>
  <c r="R717" i="1" s="1"/>
  <c r="J681" i="1"/>
  <c r="R681" i="1" s="1"/>
  <c r="J711" i="1"/>
  <c r="R711" i="1" s="1"/>
  <c r="J722" i="1"/>
  <c r="R722" i="1" s="1"/>
  <c r="J676" i="1"/>
  <c r="R676" i="1" s="1"/>
  <c r="J675" i="1"/>
  <c r="R675" i="1" s="1"/>
  <c r="J721" i="1"/>
  <c r="R721" i="1" s="1"/>
  <c r="J698" i="1"/>
  <c r="R698" i="1" s="1"/>
  <c r="J719" i="1"/>
  <c r="R719" i="1" s="1"/>
  <c r="J687" i="1"/>
  <c r="R687" i="1" s="1"/>
  <c r="J723" i="1"/>
  <c r="R723" i="1" s="1"/>
  <c r="J726" i="1"/>
  <c r="R726" i="1" s="1"/>
  <c r="J753" i="1"/>
  <c r="R753" i="1" s="1"/>
  <c r="J779" i="1"/>
  <c r="R779" i="1" s="1"/>
  <c r="J778" i="1"/>
  <c r="R778" i="1" s="1"/>
  <c r="J777" i="1"/>
  <c r="R777" i="1" s="1"/>
  <c r="J735" i="1"/>
  <c r="J798" i="1"/>
  <c r="J744" i="1"/>
  <c r="J764" i="1"/>
  <c r="J765" i="1"/>
  <c r="R765" i="1" s="1"/>
  <c r="J768" i="1"/>
  <c r="R768" i="1" s="1"/>
  <c r="J795" i="1"/>
  <c r="J775" i="1"/>
  <c r="J742" i="1"/>
  <c r="R742" i="1" s="1"/>
  <c r="J740" i="1"/>
  <c r="R740" i="1" s="1"/>
  <c r="J741" i="1"/>
  <c r="R741" i="1" s="1"/>
  <c r="J738" i="1"/>
  <c r="J755" i="1"/>
  <c r="J766" i="1"/>
  <c r="R766" i="1" s="1"/>
  <c r="J763" i="1"/>
  <c r="J729" i="1"/>
  <c r="J737" i="1"/>
  <c r="J725" i="1"/>
  <c r="R725" i="1" s="1"/>
  <c r="J773" i="1"/>
  <c r="J761" i="1"/>
  <c r="R761" i="1" s="1"/>
  <c r="J747" i="1"/>
  <c r="J771" i="1"/>
  <c r="J734" i="1"/>
  <c r="J770" i="1"/>
  <c r="R770" i="1" s="1"/>
  <c r="J736" i="1"/>
  <c r="J774" i="1"/>
  <c r="J776" i="1"/>
  <c r="R776" i="1" s="1"/>
  <c r="J759" i="1"/>
  <c r="R759" i="1" s="1"/>
  <c r="J780" i="1"/>
  <c r="J783" i="1"/>
  <c r="J746" i="1"/>
  <c r="R746" i="1" s="1"/>
  <c r="J782" i="1"/>
  <c r="J733" i="1"/>
  <c r="J767" i="1"/>
  <c r="R767" i="1" s="1"/>
  <c r="J786" i="1"/>
  <c r="R786" i="1" s="1"/>
  <c r="J760" i="1"/>
  <c r="J769" i="1"/>
  <c r="J739" i="1"/>
  <c r="J784" i="1"/>
  <c r="J785" i="1"/>
  <c r="J731" i="1"/>
  <c r="J792" i="1"/>
  <c r="R792" i="1" s="1"/>
  <c r="J791" i="1"/>
  <c r="R791" i="1" s="1"/>
  <c r="J750" i="1"/>
  <c r="J754" i="1"/>
  <c r="J749" i="1"/>
  <c r="R749" i="1" s="1"/>
  <c r="J758" i="1"/>
  <c r="R758" i="1" s="1"/>
  <c r="J781" i="1"/>
  <c r="J728" i="1"/>
  <c r="J752" i="1"/>
  <c r="J787" i="1"/>
  <c r="J748" i="1"/>
  <c r="R748" i="1" s="1"/>
  <c r="J762" i="1"/>
  <c r="R762" i="1" s="1"/>
  <c r="J732" i="1"/>
  <c r="J788" i="1"/>
  <c r="J789" i="1"/>
  <c r="R789" i="1" s="1"/>
  <c r="J790" i="1"/>
  <c r="R790" i="1" s="1"/>
  <c r="J794" i="1"/>
  <c r="J727" i="1"/>
  <c r="J730" i="1"/>
  <c r="J756" i="1"/>
  <c r="J793" i="1"/>
  <c r="J743" i="1"/>
  <c r="J799" i="1"/>
  <c r="J751" i="1"/>
  <c r="J797" i="1"/>
  <c r="J800" i="1"/>
  <c r="R800" i="1" s="1"/>
  <c r="J757" i="1"/>
  <c r="R757" i="1" s="1"/>
  <c r="J745" i="1"/>
  <c r="J772" i="1"/>
  <c r="J796" i="1"/>
  <c r="J41" i="1"/>
  <c r="R41" i="1" s="1"/>
  <c r="X198" i="1" l="1"/>
  <c r="X199" i="1"/>
  <c r="X184" i="1"/>
  <c r="X217" i="1"/>
  <c r="X269" i="1"/>
  <c r="X243" i="1"/>
  <c r="X183" i="1"/>
  <c r="X138" i="1"/>
  <c r="X150" i="1"/>
  <c r="X129" i="1"/>
  <c r="X106" i="1"/>
  <c r="X36" i="1"/>
  <c r="X108" i="1"/>
  <c r="X102" i="1"/>
  <c r="X75" i="1"/>
  <c r="X66" i="1"/>
  <c r="X9" i="1"/>
  <c r="X27" i="1"/>
  <c r="X341" i="1"/>
  <c r="X44" i="1"/>
  <c r="X77" i="1"/>
  <c r="X19" i="1"/>
  <c r="X18" i="1"/>
  <c r="X38" i="1"/>
  <c r="X33" i="1"/>
  <c r="X13" i="1"/>
  <c r="X45" i="1"/>
  <c r="X10" i="1"/>
  <c r="X86" i="1"/>
  <c r="X291" i="1"/>
  <c r="X191" i="1"/>
  <c r="X176" i="1"/>
  <c r="X201" i="1"/>
  <c r="X211" i="1"/>
  <c r="X207" i="1"/>
  <c r="X244" i="1"/>
  <c r="X194" i="1"/>
  <c r="X227" i="1"/>
  <c r="X148" i="1"/>
  <c r="X143" i="1"/>
  <c r="X147" i="1"/>
  <c r="E15" i="2"/>
  <c r="V802" i="1"/>
  <c r="J802" i="1"/>
  <c r="H15" i="2"/>
  <c r="D15" i="2"/>
  <c r="A802" i="1"/>
  <c r="X675" i="1"/>
  <c r="D16" i="2"/>
  <c r="H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E16" i="2"/>
  <c r="W122" i="1"/>
  <c r="W154" i="1"/>
  <c r="W308" i="1"/>
  <c r="R85" i="1"/>
  <c r="W419" i="1"/>
  <c r="W559" i="1"/>
  <c r="X173" i="1"/>
  <c r="X171" i="1"/>
  <c r="X167" i="1"/>
  <c r="X206" i="1"/>
  <c r="X174" i="1"/>
  <c r="R350" i="1"/>
  <c r="R735" i="1"/>
  <c r="S735" i="1"/>
  <c r="R798" i="1"/>
  <c r="S798" i="1"/>
  <c r="R744" i="1"/>
  <c r="S744" i="1"/>
  <c r="R764" i="1"/>
  <c r="S764" i="1"/>
  <c r="W599" i="1"/>
  <c r="W674" i="1"/>
  <c r="W724" i="1"/>
  <c r="T757" i="1"/>
  <c r="X378" i="1"/>
  <c r="X310" i="1"/>
  <c r="X350" i="1"/>
  <c r="X399" i="1"/>
  <c r="X319" i="1"/>
  <c r="X267" i="1"/>
  <c r="X237" i="1"/>
  <c r="X169" i="1"/>
  <c r="X155" i="1"/>
  <c r="X286" i="1"/>
  <c r="X197" i="1"/>
  <c r="X242" i="1"/>
  <c r="X65" i="1"/>
  <c r="X84" i="1"/>
  <c r="X99" i="1"/>
  <c r="X96" i="1"/>
  <c r="X119" i="1"/>
  <c r="X32" i="1"/>
  <c r="X94" i="1"/>
  <c r="W801" i="1"/>
  <c r="W802" i="1"/>
  <c r="X615" i="1"/>
  <c r="X631" i="1"/>
  <c r="X623" i="1"/>
  <c r="X639" i="1"/>
  <c r="X613" i="1"/>
  <c r="X659" i="1"/>
  <c r="X660" i="1"/>
  <c r="X643" i="1"/>
  <c r="X575" i="1"/>
  <c r="X582" i="1"/>
  <c r="X585" i="1"/>
  <c r="X583" i="1"/>
  <c r="X584" i="1"/>
  <c r="X580" i="1"/>
  <c r="X578" i="1"/>
  <c r="X572" i="1"/>
  <c r="X573" i="1"/>
  <c r="X238" i="1"/>
  <c r="X225" i="1"/>
  <c r="X297" i="1"/>
  <c r="X282" i="1"/>
  <c r="X259" i="1"/>
  <c r="X278" i="1"/>
  <c r="X283" i="1"/>
  <c r="X235" i="1"/>
  <c r="X253" i="1"/>
  <c r="X265" i="1"/>
  <c r="X233" i="1"/>
  <c r="X257" i="1"/>
  <c r="X250" i="1"/>
  <c r="X229" i="1"/>
  <c r="X223" i="1"/>
  <c r="X228" i="1"/>
  <c r="X285" i="1"/>
  <c r="X165" i="1"/>
  <c r="X216" i="1"/>
  <c r="X179" i="1"/>
  <c r="X161" i="1"/>
  <c r="X294" i="1"/>
  <c r="X301" i="1"/>
  <c r="X221" i="1"/>
  <c r="X251" i="1"/>
  <c r="X175" i="1"/>
  <c r="X164" i="1"/>
  <c r="X135" i="1"/>
  <c r="X273" i="1"/>
  <c r="X258" i="1"/>
  <c r="X264" i="1"/>
  <c r="X195" i="1"/>
  <c r="X156" i="1"/>
  <c r="X298" i="1"/>
  <c r="X262" i="1"/>
  <c r="X178" i="1"/>
  <c r="X590" i="1"/>
  <c r="T392" i="1"/>
  <c r="X392" i="1"/>
  <c r="T274" i="1"/>
  <c r="X274" i="1"/>
  <c r="T307" i="1"/>
  <c r="X307" i="1"/>
  <c r="T382" i="1"/>
  <c r="X382" i="1"/>
  <c r="T631" i="1"/>
  <c r="T659" i="1"/>
  <c r="T575" i="1"/>
  <c r="T580" i="1"/>
  <c r="T590" i="1"/>
  <c r="T623" i="1"/>
  <c r="T613" i="1"/>
  <c r="T643" i="1"/>
  <c r="T585" i="1"/>
  <c r="T584" i="1"/>
  <c r="T572" i="1"/>
  <c r="X364" i="1"/>
  <c r="T378" i="1"/>
  <c r="T310" i="1"/>
  <c r="T350" i="1"/>
  <c r="T399" i="1"/>
  <c r="T319" i="1"/>
  <c r="T639" i="1"/>
  <c r="T660" i="1"/>
  <c r="T582" i="1"/>
  <c r="T583" i="1"/>
  <c r="T578" i="1"/>
  <c r="T573" i="1"/>
  <c r="T791" i="1"/>
  <c r="X791" i="1"/>
  <c r="T786" i="1"/>
  <c r="X786" i="1"/>
  <c r="T767" i="1"/>
  <c r="X767" i="1"/>
  <c r="T746" i="1"/>
  <c r="X746" i="1"/>
  <c r="T759" i="1"/>
  <c r="X759" i="1"/>
  <c r="T776" i="1"/>
  <c r="X776" i="1"/>
  <c r="T770" i="1"/>
  <c r="X770" i="1"/>
  <c r="T761" i="1"/>
  <c r="X761" i="1"/>
  <c r="T725" i="1"/>
  <c r="X725" i="1"/>
  <c r="T766" i="1"/>
  <c r="X766" i="1"/>
  <c r="T741" i="1"/>
  <c r="X741" i="1"/>
  <c r="T256" i="1"/>
  <c r="X256" i="1"/>
  <c r="T271" i="1"/>
  <c r="X271" i="1"/>
  <c r="T246" i="1"/>
  <c r="X246" i="1"/>
  <c r="T254" i="1"/>
  <c r="X254" i="1"/>
  <c r="T248" i="1"/>
  <c r="X248" i="1"/>
  <c r="T800" i="1"/>
  <c r="X800" i="1"/>
  <c r="T790" i="1"/>
  <c r="X790" i="1"/>
  <c r="T789" i="1"/>
  <c r="X789" i="1"/>
  <c r="T762" i="1"/>
  <c r="X762" i="1"/>
  <c r="T748" i="1"/>
  <c r="X748" i="1"/>
  <c r="T758" i="1"/>
  <c r="X758" i="1"/>
  <c r="T749" i="1"/>
  <c r="X749" i="1"/>
  <c r="T792" i="1"/>
  <c r="X792" i="1"/>
  <c r="T589" i="1"/>
  <c r="X589" i="1"/>
  <c r="T562" i="1"/>
  <c r="X562" i="1"/>
  <c r="T563" i="1"/>
  <c r="X563" i="1"/>
  <c r="T556" i="1"/>
  <c r="X556" i="1"/>
  <c r="T555" i="1"/>
  <c r="X555" i="1"/>
  <c r="T437" i="1"/>
  <c r="X437" i="1"/>
  <c r="T507" i="1"/>
  <c r="X507" i="1"/>
  <c r="T512" i="1"/>
  <c r="X512" i="1"/>
  <c r="T440" i="1"/>
  <c r="X440" i="1"/>
  <c r="T483" i="1"/>
  <c r="X483" i="1"/>
  <c r="T471" i="1"/>
  <c r="X471" i="1"/>
  <c r="T482" i="1"/>
  <c r="X482" i="1"/>
  <c r="T537" i="1"/>
  <c r="X537" i="1"/>
  <c r="T432" i="1"/>
  <c r="X432" i="1"/>
  <c r="T448" i="1"/>
  <c r="X448" i="1"/>
  <c r="T505" i="1"/>
  <c r="X505" i="1"/>
  <c r="T498" i="1"/>
  <c r="X498" i="1"/>
  <c r="T487" i="1"/>
  <c r="X487" i="1"/>
  <c r="T431" i="1"/>
  <c r="X431" i="1"/>
  <c r="T543" i="1"/>
  <c r="X543" i="1"/>
  <c r="T509" i="1"/>
  <c r="X509" i="1"/>
  <c r="T425" i="1"/>
  <c r="X425" i="1"/>
  <c r="T480" i="1"/>
  <c r="X480" i="1"/>
  <c r="T504" i="1"/>
  <c r="X504" i="1"/>
  <c r="T463" i="1"/>
  <c r="X463" i="1"/>
  <c r="T540" i="1"/>
  <c r="X540" i="1"/>
  <c r="T520" i="1"/>
  <c r="X520" i="1"/>
  <c r="T524" i="1"/>
  <c r="X524" i="1"/>
  <c r="T515" i="1"/>
  <c r="X515" i="1"/>
  <c r="T525" i="1"/>
  <c r="X525" i="1"/>
  <c r="T528" i="1"/>
  <c r="X528" i="1"/>
  <c r="T428" i="1"/>
  <c r="X428" i="1"/>
  <c r="T521" i="1"/>
  <c r="X521" i="1"/>
  <c r="T450" i="1"/>
  <c r="X450" i="1"/>
  <c r="T508" i="1"/>
  <c r="X508" i="1"/>
  <c r="T485" i="1"/>
  <c r="X485" i="1"/>
  <c r="T523" i="1"/>
  <c r="X523" i="1"/>
  <c r="T522" i="1"/>
  <c r="X522" i="1"/>
  <c r="T517" i="1"/>
  <c r="X517" i="1"/>
  <c r="T526" i="1"/>
  <c r="X526" i="1"/>
  <c r="T519" i="1"/>
  <c r="X519" i="1"/>
  <c r="T495" i="1"/>
  <c r="X495" i="1"/>
  <c r="T493" i="1"/>
  <c r="X493" i="1"/>
  <c r="T491" i="1"/>
  <c r="X491" i="1"/>
  <c r="T511" i="1"/>
  <c r="X511" i="1"/>
  <c r="T360" i="1"/>
  <c r="X360" i="1"/>
  <c r="T398" i="1"/>
  <c r="X398" i="1"/>
  <c r="T410" i="1"/>
  <c r="X410" i="1"/>
  <c r="T406" i="1"/>
  <c r="X406" i="1"/>
  <c r="T411" i="1"/>
  <c r="X411" i="1"/>
  <c r="T396" i="1"/>
  <c r="X396" i="1"/>
  <c r="T311" i="1"/>
  <c r="X311" i="1"/>
  <c r="T395" i="1"/>
  <c r="X395" i="1"/>
  <c r="T389" i="1"/>
  <c r="X389" i="1"/>
  <c r="T387" i="1"/>
  <c r="X387" i="1"/>
  <c r="T355" i="1"/>
  <c r="X355" i="1"/>
  <c r="T377" i="1"/>
  <c r="X377" i="1"/>
  <c r="T404" i="1"/>
  <c r="X404" i="1"/>
  <c r="T388" i="1"/>
  <c r="X388" i="1"/>
  <c r="T390" i="1"/>
  <c r="X390" i="1"/>
  <c r="T384" i="1"/>
  <c r="X384" i="1"/>
  <c r="T374" i="1"/>
  <c r="X374" i="1"/>
  <c r="T362" i="1"/>
  <c r="X362" i="1"/>
  <c r="T79" i="1"/>
  <c r="X79" i="1"/>
  <c r="T23" i="1"/>
  <c r="X23" i="1"/>
  <c r="T54" i="1"/>
  <c r="X54" i="1"/>
  <c r="T85" i="1"/>
  <c r="X85" i="1"/>
  <c r="T59" i="1"/>
  <c r="X59" i="1"/>
  <c r="T93" i="1"/>
  <c r="X93" i="1"/>
  <c r="T41" i="1"/>
  <c r="X41" i="1"/>
  <c r="T740" i="1"/>
  <c r="T742" i="1"/>
  <c r="T768" i="1"/>
  <c r="T765" i="1"/>
  <c r="T777" i="1"/>
  <c r="T778" i="1"/>
  <c r="T779" i="1"/>
  <c r="T726" i="1"/>
  <c r="T675" i="1"/>
  <c r="T724" i="1" s="1"/>
  <c r="T711" i="1"/>
  <c r="T717" i="1"/>
  <c r="T716" i="1"/>
  <c r="T715" i="1"/>
  <c r="T686" i="1"/>
  <c r="T700" i="1"/>
  <c r="T694" i="1"/>
  <c r="T683" i="1"/>
  <c r="T705" i="1"/>
  <c r="T667" i="1"/>
  <c r="T672" i="1"/>
  <c r="T615" i="1"/>
  <c r="S70" i="1"/>
  <c r="R70" i="1"/>
  <c r="R21" i="1"/>
  <c r="S21" i="1"/>
  <c r="S88" i="1"/>
  <c r="R88" i="1"/>
  <c r="R97" i="1"/>
  <c r="S97" i="1"/>
  <c r="R89" i="1"/>
  <c r="S89" i="1"/>
  <c r="S103" i="1"/>
  <c r="R103" i="1"/>
  <c r="S56" i="1"/>
  <c r="R56" i="1"/>
  <c r="R30" i="1"/>
  <c r="S30" i="1"/>
  <c r="R67" i="1"/>
  <c r="S67" i="1"/>
  <c r="R46" i="1"/>
  <c r="S46" i="1"/>
  <c r="S49" i="1"/>
  <c r="R49" i="1"/>
  <c r="S113" i="1"/>
  <c r="R113" i="1"/>
  <c r="R48" i="1"/>
  <c r="S48" i="1"/>
  <c r="R109" i="1"/>
  <c r="S109" i="1"/>
  <c r="R110" i="1"/>
  <c r="S110" i="1"/>
  <c r="S39" i="1"/>
  <c r="R39" i="1"/>
  <c r="R90" i="1"/>
  <c r="S90" i="1"/>
  <c r="S40" i="1"/>
  <c r="R40" i="1"/>
  <c r="S114" i="1"/>
  <c r="R114" i="1"/>
  <c r="R117" i="1"/>
  <c r="S117" i="1"/>
  <c r="S15" i="1"/>
  <c r="R15" i="1"/>
  <c r="S80" i="1"/>
  <c r="R80" i="1"/>
  <c r="R73" i="1"/>
  <c r="S73" i="1"/>
  <c r="R68" i="1"/>
  <c r="S68" i="1"/>
  <c r="R86" i="1"/>
  <c r="T86" i="1"/>
  <c r="S34" i="1"/>
  <c r="R34" i="1"/>
  <c r="R78" i="1"/>
  <c r="S78" i="1"/>
  <c r="S3" i="1"/>
  <c r="S122" i="1" s="1"/>
  <c r="I7" i="2" s="1"/>
  <c r="R3" i="1"/>
  <c r="R8" i="1"/>
  <c r="S8" i="1"/>
  <c r="T10" i="1"/>
  <c r="R10" i="1"/>
  <c r="S116" i="1"/>
  <c r="R116" i="1"/>
  <c r="T45" i="1"/>
  <c r="R45" i="1"/>
  <c r="R6" i="1"/>
  <c r="S6" i="1"/>
  <c r="T13" i="1"/>
  <c r="R13" i="1"/>
  <c r="S74" i="1"/>
  <c r="R74" i="1"/>
  <c r="R33" i="1"/>
  <c r="T33" i="1"/>
  <c r="R38" i="1"/>
  <c r="T38" i="1"/>
  <c r="T18" i="1"/>
  <c r="R18" i="1"/>
  <c r="T19" i="1"/>
  <c r="R19" i="1"/>
  <c r="R81" i="1"/>
  <c r="S81" i="1"/>
  <c r="S76" i="1"/>
  <c r="R76" i="1"/>
  <c r="S71" i="1"/>
  <c r="R71" i="1"/>
  <c r="T77" i="1"/>
  <c r="R77" i="1"/>
  <c r="T44" i="1"/>
  <c r="R44" i="1"/>
  <c r="T341" i="1"/>
  <c r="R341" i="1"/>
  <c r="S31" i="1"/>
  <c r="R31" i="1"/>
  <c r="T27" i="1"/>
  <c r="R27" i="1"/>
  <c r="S111" i="1"/>
  <c r="R111" i="1"/>
  <c r="T9" i="1"/>
  <c r="R9" i="1"/>
  <c r="S5" i="1"/>
  <c r="R5" i="1"/>
  <c r="S107" i="1"/>
  <c r="R107" i="1"/>
  <c r="T66" i="1"/>
  <c r="R66" i="1"/>
  <c r="R75" i="1"/>
  <c r="T75" i="1"/>
  <c r="R102" i="1"/>
  <c r="T102" i="1"/>
  <c r="R108" i="1"/>
  <c r="T108" i="1"/>
  <c r="R36" i="1"/>
  <c r="T36" i="1"/>
  <c r="R106" i="1"/>
  <c r="T106" i="1"/>
  <c r="R94" i="1"/>
  <c r="T94" i="1"/>
  <c r="R32" i="1"/>
  <c r="T32" i="1"/>
  <c r="R119" i="1"/>
  <c r="T119" i="1"/>
  <c r="R96" i="1"/>
  <c r="T96" i="1"/>
  <c r="R99" i="1"/>
  <c r="T99" i="1"/>
  <c r="R84" i="1"/>
  <c r="T84" i="1"/>
  <c r="R65" i="1"/>
  <c r="T65" i="1"/>
  <c r="R129" i="1"/>
  <c r="T129" i="1"/>
  <c r="R147" i="1"/>
  <c r="T147" i="1"/>
  <c r="R150" i="1"/>
  <c r="T150" i="1"/>
  <c r="R143" i="1"/>
  <c r="T143" i="1"/>
  <c r="R138" i="1"/>
  <c r="T138" i="1"/>
  <c r="R148" i="1"/>
  <c r="T148" i="1"/>
  <c r="R183" i="1"/>
  <c r="T183" i="1"/>
  <c r="R227" i="1"/>
  <c r="T227" i="1"/>
  <c r="R194" i="1"/>
  <c r="T194" i="1"/>
  <c r="R243" i="1"/>
  <c r="T243" i="1"/>
  <c r="R244" i="1"/>
  <c r="T244" i="1"/>
  <c r="R269" i="1"/>
  <c r="T269" i="1"/>
  <c r="R207" i="1"/>
  <c r="T207" i="1"/>
  <c r="R217" i="1"/>
  <c r="T217" i="1"/>
  <c r="R211" i="1"/>
  <c r="T211" i="1"/>
  <c r="R184" i="1"/>
  <c r="T184" i="1"/>
  <c r="R201" i="1"/>
  <c r="T201" i="1"/>
  <c r="R199" i="1"/>
  <c r="T199" i="1"/>
  <c r="R176" i="1"/>
  <c r="T176" i="1"/>
  <c r="R198" i="1"/>
  <c r="T198" i="1"/>
  <c r="R191" i="1"/>
  <c r="T191" i="1"/>
  <c r="R174" i="1"/>
  <c r="T174" i="1"/>
  <c r="R208" i="1"/>
  <c r="S208" i="1"/>
  <c r="R206" i="1"/>
  <c r="T206" i="1"/>
  <c r="R272" i="1"/>
  <c r="S272" i="1"/>
  <c r="R266" i="1"/>
  <c r="S266" i="1"/>
  <c r="R182" i="1"/>
  <c r="S182" i="1"/>
  <c r="R167" i="1"/>
  <c r="T167" i="1"/>
  <c r="R200" i="1"/>
  <c r="S200" i="1"/>
  <c r="R177" i="1"/>
  <c r="S177" i="1"/>
  <c r="R171" i="1"/>
  <c r="T171" i="1"/>
  <c r="R173" i="1"/>
  <c r="T173" i="1"/>
  <c r="R160" i="1"/>
  <c r="S160" i="1"/>
  <c r="R197" i="1"/>
  <c r="T197" i="1"/>
  <c r="R286" i="1"/>
  <c r="T286" i="1"/>
  <c r="R155" i="1"/>
  <c r="T155" i="1"/>
  <c r="R169" i="1"/>
  <c r="T169" i="1"/>
  <c r="R237" i="1"/>
  <c r="T237" i="1"/>
  <c r="R267" i="1"/>
  <c r="T267" i="1"/>
  <c r="R178" i="1"/>
  <c r="T178" i="1"/>
  <c r="R262" i="1"/>
  <c r="T262" i="1"/>
  <c r="R291" i="1"/>
  <c r="T291" i="1"/>
  <c r="R298" i="1"/>
  <c r="T298" i="1"/>
  <c r="R156" i="1"/>
  <c r="T156" i="1"/>
  <c r="R195" i="1"/>
  <c r="T195" i="1"/>
  <c r="R264" i="1"/>
  <c r="T264" i="1"/>
  <c r="R258" i="1"/>
  <c r="T258" i="1"/>
  <c r="R273" i="1"/>
  <c r="T273" i="1"/>
  <c r="R135" i="1"/>
  <c r="T135" i="1"/>
  <c r="R164" i="1"/>
  <c r="T164" i="1"/>
  <c r="R175" i="1"/>
  <c r="T175" i="1"/>
  <c r="R251" i="1"/>
  <c r="T251" i="1"/>
  <c r="R221" i="1"/>
  <c r="T221" i="1"/>
  <c r="R301" i="1"/>
  <c r="T301" i="1"/>
  <c r="R294" i="1"/>
  <c r="T294" i="1"/>
  <c r="R161" i="1"/>
  <c r="T161" i="1"/>
  <c r="R210" i="1"/>
  <c r="S210" i="1"/>
  <c r="R299" i="1"/>
  <c r="S299" i="1"/>
  <c r="R179" i="1"/>
  <c r="T179" i="1"/>
  <c r="R216" i="1"/>
  <c r="T216" i="1"/>
  <c r="R165" i="1"/>
  <c r="T165" i="1"/>
  <c r="R285" i="1"/>
  <c r="T285" i="1"/>
  <c r="R228" i="1"/>
  <c r="T228" i="1"/>
  <c r="R223" i="1"/>
  <c r="T223" i="1"/>
  <c r="R229" i="1"/>
  <c r="T229" i="1"/>
  <c r="R250" i="1"/>
  <c r="T250" i="1"/>
  <c r="R257" i="1"/>
  <c r="T257" i="1"/>
  <c r="R233" i="1"/>
  <c r="T233" i="1"/>
  <c r="R265" i="1"/>
  <c r="T265" i="1"/>
  <c r="R253" i="1"/>
  <c r="T253" i="1"/>
  <c r="R235" i="1"/>
  <c r="T235" i="1"/>
  <c r="R283" i="1"/>
  <c r="T283" i="1"/>
  <c r="R278" i="1"/>
  <c r="T278" i="1"/>
  <c r="R259" i="1"/>
  <c r="T259" i="1"/>
  <c r="R282" i="1"/>
  <c r="T282" i="1"/>
  <c r="R297" i="1"/>
  <c r="T297" i="1"/>
  <c r="R225" i="1"/>
  <c r="T225" i="1"/>
  <c r="R238" i="1"/>
  <c r="T238" i="1"/>
  <c r="R242" i="1"/>
  <c r="T242" i="1"/>
  <c r="R364" i="1"/>
  <c r="T364" i="1"/>
  <c r="R795" i="1"/>
  <c r="S795" i="1"/>
  <c r="R775" i="1"/>
  <c r="S775" i="1"/>
  <c r="X757" i="1"/>
  <c r="R204" i="1"/>
  <c r="S204" i="1"/>
  <c r="R163" i="1"/>
  <c r="S163" i="1"/>
  <c r="R300" i="1"/>
  <c r="S300" i="1"/>
  <c r="R213" i="1"/>
  <c r="S213" i="1"/>
  <c r="S25" i="1"/>
  <c r="T25" i="1" s="1"/>
  <c r="R25" i="1"/>
  <c r="S112" i="1"/>
  <c r="T112" i="1" s="1"/>
  <c r="R112" i="1"/>
  <c r="S22" i="1"/>
  <c r="T22" i="1" s="1"/>
  <c r="R22" i="1"/>
  <c r="S100" i="1"/>
  <c r="T100" i="1" s="1"/>
  <c r="R100" i="1"/>
  <c r="S92" i="1"/>
  <c r="T92" i="1" s="1"/>
  <c r="R92" i="1"/>
  <c r="S64" i="1"/>
  <c r="T64" i="1" s="1"/>
  <c r="R64" i="1"/>
  <c r="S91" i="1"/>
  <c r="T91" i="1" s="1"/>
  <c r="R91" i="1"/>
  <c r="S83" i="1"/>
  <c r="T83" i="1" s="1"/>
  <c r="R83" i="1"/>
  <c r="S101" i="1"/>
  <c r="T101" i="1" s="1"/>
  <c r="R101" i="1"/>
  <c r="S42" i="1"/>
  <c r="T42" i="1" s="1"/>
  <c r="R42" i="1"/>
  <c r="S26" i="1"/>
  <c r="T26" i="1" s="1"/>
  <c r="R26" i="1"/>
  <c r="S104" i="1"/>
  <c r="T104" i="1" s="1"/>
  <c r="R104" i="1"/>
  <c r="S12" i="1"/>
  <c r="T12" i="1" s="1"/>
  <c r="R12" i="1"/>
  <c r="S105" i="1"/>
  <c r="T105" i="1" s="1"/>
  <c r="R105" i="1"/>
  <c r="S115" i="1"/>
  <c r="T115" i="1" s="1"/>
  <c r="R115" i="1"/>
  <c r="S17" i="1"/>
  <c r="T17" i="1" s="1"/>
  <c r="R17" i="1"/>
  <c r="S63" i="1"/>
  <c r="T63" i="1" s="1"/>
  <c r="R63" i="1"/>
  <c r="S69" i="1"/>
  <c r="T69" i="1" s="1"/>
  <c r="R69" i="1"/>
  <c r="S62" i="1"/>
  <c r="T62" i="1" s="1"/>
  <c r="R62" i="1"/>
  <c r="S7" i="1"/>
  <c r="T7" i="1" s="1"/>
  <c r="R7" i="1"/>
  <c r="S121" i="1"/>
  <c r="T121" i="1" s="1"/>
  <c r="R121" i="1"/>
  <c r="S72" i="1"/>
  <c r="T72" i="1" s="1"/>
  <c r="R72" i="1"/>
  <c r="S120" i="1"/>
  <c r="T120" i="1" s="1"/>
  <c r="R120" i="1"/>
  <c r="S16" i="1"/>
  <c r="T16" i="1" s="1"/>
  <c r="R16" i="1"/>
  <c r="S118" i="1"/>
  <c r="T118" i="1" s="1"/>
  <c r="R118" i="1"/>
  <c r="R288" i="1"/>
  <c r="S288" i="1"/>
  <c r="T288" i="1" s="1"/>
  <c r="R382" i="1"/>
  <c r="R692" i="1"/>
  <c r="R209" i="1"/>
  <c r="S209" i="1"/>
  <c r="T209" i="1" s="1"/>
  <c r="R205" i="1"/>
  <c r="S205" i="1"/>
  <c r="T205" i="1" s="1"/>
  <c r="R188" i="1"/>
  <c r="S188" i="1"/>
  <c r="T188" i="1" s="1"/>
  <c r="R241" i="1"/>
  <c r="S241" i="1"/>
  <c r="T241" i="1" s="1"/>
  <c r="R280" i="1"/>
  <c r="S280" i="1"/>
  <c r="T280" i="1" s="1"/>
  <c r="R263" i="1"/>
  <c r="S263" i="1"/>
  <c r="T263" i="1" s="1"/>
  <c r="R220" i="1"/>
  <c r="S220" i="1"/>
  <c r="T220" i="1" s="1"/>
  <c r="R290" i="1"/>
  <c r="S290" i="1"/>
  <c r="T290" i="1" s="1"/>
  <c r="R293" i="1"/>
  <c r="S293" i="1"/>
  <c r="T293" i="1" s="1"/>
  <c r="R187" i="1"/>
  <c r="S187" i="1"/>
  <c r="T187" i="1" s="1"/>
  <c r="R196" i="1"/>
  <c r="S196" i="1"/>
  <c r="T196" i="1" s="1"/>
  <c r="R214" i="1"/>
  <c r="S214" i="1"/>
  <c r="T214" i="1" s="1"/>
  <c r="R270" i="1"/>
  <c r="S270" i="1"/>
  <c r="T270" i="1" s="1"/>
  <c r="R261" i="1"/>
  <c r="S261" i="1"/>
  <c r="T261" i="1" s="1"/>
  <c r="R289" i="1"/>
  <c r="S289" i="1"/>
  <c r="T289" i="1" s="1"/>
  <c r="R190" i="1"/>
  <c r="S190" i="1"/>
  <c r="T190" i="1" s="1"/>
  <c r="R166" i="1"/>
  <c r="S166" i="1"/>
  <c r="T166" i="1" s="1"/>
  <c r="R192" i="1"/>
  <c r="S192" i="1"/>
  <c r="T192" i="1" s="1"/>
  <c r="R189" i="1"/>
  <c r="S189" i="1"/>
  <c r="R158" i="1"/>
  <c r="S158" i="1"/>
  <c r="T158" i="1" s="1"/>
  <c r="R302" i="1"/>
  <c r="S302" i="1"/>
  <c r="T302" i="1" s="1"/>
  <c r="R230" i="1"/>
  <c r="S230" i="1"/>
  <c r="T230" i="1" s="1"/>
  <c r="R224" i="1"/>
  <c r="S224" i="1"/>
  <c r="T224" i="1" s="1"/>
  <c r="R255" i="1"/>
  <c r="S255" i="1"/>
  <c r="T255" i="1" s="1"/>
  <c r="R226" i="1"/>
  <c r="S226" i="1"/>
  <c r="T226" i="1" s="1"/>
  <c r="R260" i="1"/>
  <c r="S260" i="1"/>
  <c r="T260" i="1" s="1"/>
  <c r="R234" i="1"/>
  <c r="S234" i="1"/>
  <c r="T234" i="1" s="1"/>
  <c r="R281" i="1"/>
  <c r="S281" i="1"/>
  <c r="T281" i="1" s="1"/>
  <c r="R277" i="1"/>
  <c r="S277" i="1"/>
  <c r="T277" i="1" s="1"/>
  <c r="R276" i="1"/>
  <c r="S276" i="1"/>
  <c r="T276" i="1" s="1"/>
  <c r="R279" i="1"/>
  <c r="S279" i="1"/>
  <c r="T279" i="1" s="1"/>
  <c r="R284" i="1"/>
  <c r="S284" i="1"/>
  <c r="T284" i="1" s="1"/>
  <c r="R292" i="1"/>
  <c r="S292" i="1"/>
  <c r="T292" i="1" s="1"/>
  <c r="R303" i="1"/>
  <c r="S303" i="1"/>
  <c r="T303" i="1" s="1"/>
  <c r="R295" i="1"/>
  <c r="S295" i="1"/>
  <c r="T295" i="1" s="1"/>
  <c r="R304" i="1"/>
  <c r="S304" i="1"/>
  <c r="T304" i="1" s="1"/>
  <c r="R296" i="1"/>
  <c r="S296" i="1"/>
  <c r="T296" i="1" s="1"/>
  <c r="R236" i="1"/>
  <c r="S236" i="1"/>
  <c r="T236" i="1" s="1"/>
  <c r="R162" i="1"/>
  <c r="S162" i="1"/>
  <c r="T162" i="1" s="1"/>
  <c r="R679" i="1"/>
  <c r="S679" i="1"/>
  <c r="R706" i="1"/>
  <c r="S706" i="1"/>
  <c r="T706" i="1" s="1"/>
  <c r="R231" i="1"/>
  <c r="S231" i="1"/>
  <c r="R222" i="1"/>
  <c r="S222" i="1"/>
  <c r="T222" i="1" s="1"/>
  <c r="R275" i="1"/>
  <c r="S275" i="1"/>
  <c r="T275" i="1" s="1"/>
  <c r="R287" i="1"/>
  <c r="S287" i="1"/>
  <c r="T287" i="1" s="1"/>
  <c r="R268" i="1"/>
  <c r="S268" i="1"/>
  <c r="T268" i="1" s="1"/>
  <c r="R372" i="1"/>
  <c r="S372" i="1"/>
  <c r="T372" i="1" s="1"/>
  <c r="R353" i="1"/>
  <c r="S353" i="1"/>
  <c r="T353" i="1" s="1"/>
  <c r="R336" i="1"/>
  <c r="S336" i="1"/>
  <c r="T336" i="1" s="1"/>
  <c r="R383" i="1"/>
  <c r="S383" i="1"/>
  <c r="T383" i="1" s="1"/>
  <c r="R338" i="1"/>
  <c r="S338" i="1"/>
  <c r="T338" i="1" s="1"/>
  <c r="R348" i="1"/>
  <c r="S348" i="1"/>
  <c r="T348" i="1" s="1"/>
  <c r="R324" i="1"/>
  <c r="S324" i="1"/>
  <c r="T324" i="1" s="1"/>
  <c r="R335" i="1"/>
  <c r="S335" i="1"/>
  <c r="T335" i="1" s="1"/>
  <c r="R379" i="1"/>
  <c r="S379" i="1"/>
  <c r="T379" i="1" s="1"/>
  <c r="R393" i="1"/>
  <c r="S393" i="1"/>
  <c r="T393" i="1" s="1"/>
  <c r="R330" i="1"/>
  <c r="S330" i="1"/>
  <c r="T330" i="1" s="1"/>
  <c r="R331" i="1"/>
  <c r="S331" i="1"/>
  <c r="T331" i="1" s="1"/>
  <c r="R394" i="1"/>
  <c r="S394" i="1"/>
  <c r="T394" i="1" s="1"/>
  <c r="R329" i="1"/>
  <c r="S329" i="1"/>
  <c r="T329" i="1" s="1"/>
  <c r="R365" i="1"/>
  <c r="S365" i="1"/>
  <c r="T365" i="1" s="1"/>
  <c r="R402" i="1"/>
  <c r="S402" i="1"/>
  <c r="T402" i="1" s="1"/>
  <c r="R315" i="1"/>
  <c r="S315" i="1"/>
  <c r="T315" i="1" s="1"/>
  <c r="R343" i="1"/>
  <c r="S343" i="1"/>
  <c r="R708" i="1"/>
  <c r="S708" i="1"/>
  <c r="T708" i="1" s="1"/>
  <c r="S24" i="1"/>
  <c r="T24" i="1" s="1"/>
  <c r="R24" i="1"/>
  <c r="S14" i="1"/>
  <c r="T14" i="1" s="1"/>
  <c r="R14" i="1"/>
  <c r="S28" i="1"/>
  <c r="T28" i="1" s="1"/>
  <c r="R28" i="1"/>
  <c r="S29" i="1"/>
  <c r="T29" i="1" s="1"/>
  <c r="R29" i="1"/>
  <c r="S43" i="1"/>
  <c r="T43" i="1" s="1"/>
  <c r="R43" i="1"/>
  <c r="S82" i="1"/>
  <c r="T82" i="1" s="1"/>
  <c r="R82" i="1"/>
  <c r="S4" i="1"/>
  <c r="T4" i="1" s="1"/>
  <c r="R4" i="1"/>
  <c r="S35" i="1"/>
  <c r="T35" i="1" s="1"/>
  <c r="R35" i="1"/>
  <c r="S57" i="1"/>
  <c r="T57" i="1" s="1"/>
  <c r="R57" i="1"/>
  <c r="S55" i="1"/>
  <c r="T55" i="1" s="1"/>
  <c r="R55" i="1"/>
  <c r="S87" i="1"/>
  <c r="R87" i="1"/>
  <c r="S20" i="1"/>
  <c r="T20" i="1" s="1"/>
  <c r="R20" i="1"/>
  <c r="S60" i="1"/>
  <c r="T60" i="1" s="1"/>
  <c r="R60" i="1"/>
  <c r="S95" i="1"/>
  <c r="T95" i="1" s="1"/>
  <c r="R95" i="1"/>
  <c r="S61" i="1"/>
  <c r="T61" i="1" s="1"/>
  <c r="R61" i="1"/>
  <c r="S11" i="1"/>
  <c r="T11" i="1" s="1"/>
  <c r="R11" i="1"/>
  <c r="S98" i="1"/>
  <c r="T98" i="1" s="1"/>
  <c r="R98" i="1"/>
  <c r="S37" i="1"/>
  <c r="T37" i="1" s="1"/>
  <c r="R37" i="1"/>
  <c r="S47" i="1"/>
  <c r="T47" i="1" s="1"/>
  <c r="R47" i="1"/>
  <c r="S51" i="1"/>
  <c r="T51" i="1" s="1"/>
  <c r="R51" i="1"/>
  <c r="S52" i="1"/>
  <c r="R52" i="1"/>
  <c r="S53" i="1"/>
  <c r="T53" i="1" s="1"/>
  <c r="R53" i="1"/>
  <c r="S50" i="1"/>
  <c r="T50" i="1" s="1"/>
  <c r="R50" i="1"/>
  <c r="S58" i="1"/>
  <c r="T58" i="1" s="1"/>
  <c r="R58" i="1"/>
  <c r="R560" i="1"/>
  <c r="S560" i="1"/>
  <c r="R564" i="1"/>
  <c r="S564" i="1"/>
  <c r="T564" i="1" s="1"/>
  <c r="R566" i="1"/>
  <c r="S566" i="1"/>
  <c r="T566" i="1" s="1"/>
  <c r="R567" i="1"/>
  <c r="S567" i="1"/>
  <c r="T567" i="1" s="1"/>
  <c r="R587" i="1"/>
  <c r="S587" i="1"/>
  <c r="T587" i="1" s="1"/>
  <c r="R588" i="1"/>
  <c r="S588" i="1"/>
  <c r="T588" i="1" s="1"/>
  <c r="R591" i="1"/>
  <c r="S591" i="1"/>
  <c r="R592" i="1"/>
  <c r="S592" i="1"/>
  <c r="T592" i="1" s="1"/>
  <c r="R146" i="1"/>
  <c r="S146" i="1"/>
  <c r="T146" i="1" s="1"/>
  <c r="S149" i="1"/>
  <c r="T149" i="1" s="1"/>
  <c r="R149" i="1"/>
  <c r="S151" i="1"/>
  <c r="T151" i="1" s="1"/>
  <c r="R151" i="1"/>
  <c r="S153" i="1"/>
  <c r="T153" i="1" s="1"/>
  <c r="R153" i="1"/>
  <c r="S145" i="1"/>
  <c r="T145" i="1" s="1"/>
  <c r="R145" i="1"/>
  <c r="R131" i="1"/>
  <c r="S131" i="1"/>
  <c r="T131" i="1" s="1"/>
  <c r="R137" i="1"/>
  <c r="S137" i="1"/>
  <c r="T137" i="1" s="1"/>
  <c r="R136" i="1"/>
  <c r="S136" i="1"/>
  <c r="T136" i="1" s="1"/>
  <c r="R139" i="1"/>
  <c r="S139" i="1"/>
  <c r="T139" i="1" s="1"/>
  <c r="R141" i="1"/>
  <c r="S141" i="1"/>
  <c r="T141" i="1" s="1"/>
  <c r="R125" i="1"/>
  <c r="S125" i="1"/>
  <c r="T125" i="1" s="1"/>
  <c r="R152" i="1"/>
  <c r="S152" i="1"/>
  <c r="T152" i="1" s="1"/>
  <c r="R142" i="1"/>
  <c r="S142" i="1"/>
  <c r="T142" i="1" s="1"/>
  <c r="R133" i="1"/>
  <c r="S133" i="1"/>
  <c r="T133" i="1" s="1"/>
  <c r="R130" i="1"/>
  <c r="S130" i="1"/>
  <c r="T130" i="1" s="1"/>
  <c r="S123" i="1"/>
  <c r="R123" i="1"/>
  <c r="S126" i="1"/>
  <c r="T126" i="1" s="1"/>
  <c r="R126" i="1"/>
  <c r="R134" i="1"/>
  <c r="S134" i="1"/>
  <c r="T134" i="1" s="1"/>
  <c r="S124" i="1"/>
  <c r="T124" i="1" s="1"/>
  <c r="R124" i="1"/>
  <c r="S128" i="1"/>
  <c r="T128" i="1" s="1"/>
  <c r="R128" i="1"/>
  <c r="S144" i="1"/>
  <c r="T144" i="1" s="1"/>
  <c r="R144" i="1"/>
  <c r="S132" i="1"/>
  <c r="T132" i="1" s="1"/>
  <c r="R132" i="1"/>
  <c r="S140" i="1"/>
  <c r="T140" i="1" s="1"/>
  <c r="R140" i="1"/>
  <c r="R127" i="1"/>
  <c r="S127" i="1"/>
  <c r="T127" i="1" s="1"/>
  <c r="R157" i="1"/>
  <c r="S157" i="1"/>
  <c r="R219" i="1"/>
  <c r="S219" i="1"/>
  <c r="T219" i="1" s="1"/>
  <c r="R239" i="1"/>
  <c r="S239" i="1"/>
  <c r="R247" i="1"/>
  <c r="S247" i="1"/>
  <c r="T247" i="1" s="1"/>
  <c r="S172" i="1"/>
  <c r="T172" i="1" s="1"/>
  <c r="R172" i="1"/>
  <c r="R249" i="1"/>
  <c r="S249" i="1"/>
  <c r="T249" i="1" s="1"/>
  <c r="S232" i="1"/>
  <c r="T232" i="1" s="1"/>
  <c r="R232" i="1"/>
  <c r="S218" i="1"/>
  <c r="T218" i="1" s="1"/>
  <c r="R218" i="1"/>
  <c r="R305" i="1"/>
  <c r="S305" i="1"/>
  <c r="T305" i="1" s="1"/>
  <c r="S306" i="1"/>
  <c r="T306" i="1" s="1"/>
  <c r="R306" i="1"/>
  <c r="R159" i="1"/>
  <c r="S159" i="1"/>
  <c r="T159" i="1" s="1"/>
  <c r="S193" i="1"/>
  <c r="T193" i="1" s="1"/>
  <c r="R193" i="1"/>
  <c r="R168" i="1"/>
  <c r="S168" i="1"/>
  <c r="T168" i="1" s="1"/>
  <c r="R186" i="1"/>
  <c r="S186" i="1"/>
  <c r="T186" i="1" s="1"/>
  <c r="R215" i="1"/>
  <c r="S215" i="1"/>
  <c r="T215" i="1" s="1"/>
  <c r="R185" i="1"/>
  <c r="S185" i="1"/>
  <c r="T185" i="1" s="1"/>
  <c r="S170" i="1"/>
  <c r="T170" i="1" s="1"/>
  <c r="R170" i="1"/>
  <c r="R240" i="1"/>
  <c r="S240" i="1"/>
  <c r="T240" i="1" s="1"/>
  <c r="R245" i="1"/>
  <c r="S245" i="1"/>
  <c r="T245" i="1" s="1"/>
  <c r="R252" i="1"/>
  <c r="S252" i="1"/>
  <c r="T252" i="1" s="1"/>
  <c r="R212" i="1"/>
  <c r="S212" i="1"/>
  <c r="T212" i="1" s="1"/>
  <c r="R180" i="1"/>
  <c r="S180" i="1"/>
  <c r="T180" i="1" s="1"/>
  <c r="R202" i="1"/>
  <c r="S202" i="1"/>
  <c r="T202" i="1" s="1"/>
  <c r="R203" i="1"/>
  <c r="S203" i="1"/>
  <c r="T203" i="1" s="1"/>
  <c r="R181" i="1"/>
  <c r="S181" i="1"/>
  <c r="T181" i="1" s="1"/>
  <c r="S359" i="1"/>
  <c r="T359" i="1" s="1"/>
  <c r="R359" i="1"/>
  <c r="S401" i="1"/>
  <c r="T401" i="1" s="1"/>
  <c r="R401" i="1"/>
  <c r="S342" i="1"/>
  <c r="T342" i="1" s="1"/>
  <c r="R342" i="1"/>
  <c r="S357" i="1"/>
  <c r="T357" i="1" s="1"/>
  <c r="R357" i="1"/>
  <c r="S321" i="1"/>
  <c r="T321" i="1" s="1"/>
  <c r="R321" i="1"/>
  <c r="S332" i="1"/>
  <c r="T332" i="1" s="1"/>
  <c r="R332" i="1"/>
  <c r="S375" i="1"/>
  <c r="T375" i="1" s="1"/>
  <c r="R375" i="1"/>
  <c r="S416" i="1"/>
  <c r="T416" i="1" s="1"/>
  <c r="R416" i="1"/>
  <c r="S344" i="1"/>
  <c r="T344" i="1" s="1"/>
  <c r="R344" i="1"/>
  <c r="S381" i="1"/>
  <c r="T381" i="1" s="1"/>
  <c r="R381" i="1"/>
  <c r="S361" i="1"/>
  <c r="T361" i="1" s="1"/>
  <c r="R361" i="1"/>
  <c r="S351" i="1"/>
  <c r="R351" i="1"/>
  <c r="S328" i="1"/>
  <c r="T328" i="1" s="1"/>
  <c r="R328" i="1"/>
  <c r="S370" i="1"/>
  <c r="T370" i="1" s="1"/>
  <c r="R370" i="1"/>
  <c r="R347" i="1"/>
  <c r="S347" i="1"/>
  <c r="T347" i="1" s="1"/>
  <c r="S325" i="1"/>
  <c r="T325" i="1" s="1"/>
  <c r="R325" i="1"/>
  <c r="R352" i="1"/>
  <c r="S352" i="1"/>
  <c r="T352" i="1" s="1"/>
  <c r="S323" i="1"/>
  <c r="T323" i="1" s="1"/>
  <c r="R323" i="1"/>
  <c r="R366" i="1"/>
  <c r="S366" i="1"/>
  <c r="T366" i="1" s="1"/>
  <c r="S326" i="1"/>
  <c r="T326" i="1" s="1"/>
  <c r="R326" i="1"/>
  <c r="R358" i="1"/>
  <c r="S358" i="1"/>
  <c r="T358" i="1" s="1"/>
  <c r="R417" i="1"/>
  <c r="S417" i="1"/>
  <c r="T417" i="1" s="1"/>
  <c r="R367" i="1"/>
  <c r="S367" i="1"/>
  <c r="T367" i="1" s="1"/>
  <c r="R322" i="1"/>
  <c r="S322" i="1"/>
  <c r="T322" i="1" s="1"/>
  <c r="R363" i="1"/>
  <c r="S363" i="1"/>
  <c r="T363" i="1" s="1"/>
  <c r="S385" i="1"/>
  <c r="T385" i="1" s="1"/>
  <c r="R385" i="1"/>
  <c r="R391" i="1"/>
  <c r="S391" i="1"/>
  <c r="T391" i="1" s="1"/>
  <c r="R368" i="1"/>
  <c r="S368" i="1"/>
  <c r="T368" i="1" s="1"/>
  <c r="R373" i="1"/>
  <c r="S373" i="1"/>
  <c r="T373" i="1" s="1"/>
  <c r="S369" i="1"/>
  <c r="T369" i="1" s="1"/>
  <c r="R369" i="1"/>
  <c r="S400" i="1"/>
  <c r="T400" i="1" s="1"/>
  <c r="R400" i="1"/>
  <c r="S380" i="1"/>
  <c r="T380" i="1" s="1"/>
  <c r="R380" i="1"/>
  <c r="S339" i="1"/>
  <c r="T339" i="1" s="1"/>
  <c r="R339" i="1"/>
  <c r="S349" i="1"/>
  <c r="T349" i="1" s="1"/>
  <c r="R349" i="1"/>
  <c r="R403" i="1"/>
  <c r="S403" i="1"/>
  <c r="T403" i="1" s="1"/>
  <c r="S327" i="1"/>
  <c r="T327" i="1" s="1"/>
  <c r="R327" i="1"/>
  <c r="S405" i="1"/>
  <c r="T405" i="1" s="1"/>
  <c r="R405" i="1"/>
  <c r="S337" i="1"/>
  <c r="T337" i="1" s="1"/>
  <c r="R337" i="1"/>
  <c r="S408" i="1"/>
  <c r="T408" i="1" s="1"/>
  <c r="R408" i="1"/>
  <c r="S397" i="1"/>
  <c r="T397" i="1" s="1"/>
  <c r="R397" i="1"/>
  <c r="S356" i="1"/>
  <c r="T356" i="1" s="1"/>
  <c r="R356" i="1"/>
  <c r="S412" i="1"/>
  <c r="T412" i="1" s="1"/>
  <c r="R412" i="1"/>
  <c r="R345" i="1"/>
  <c r="S345" i="1"/>
  <c r="T345" i="1" s="1"/>
  <c r="R415" i="1"/>
  <c r="S415" i="1"/>
  <c r="T415" i="1" s="1"/>
  <c r="R418" i="1"/>
  <c r="S418" i="1"/>
  <c r="T418" i="1" s="1"/>
  <c r="R371" i="1"/>
  <c r="S371" i="1"/>
  <c r="T371" i="1" s="1"/>
  <c r="R376" i="1"/>
  <c r="S376" i="1"/>
  <c r="T376" i="1" s="1"/>
  <c r="R346" i="1"/>
  <c r="S346" i="1"/>
  <c r="T346" i="1" s="1"/>
  <c r="R407" i="1"/>
  <c r="S407" i="1"/>
  <c r="T407" i="1" s="1"/>
  <c r="R414" i="1"/>
  <c r="S414" i="1"/>
  <c r="T414" i="1" s="1"/>
  <c r="R386" i="1"/>
  <c r="S386" i="1"/>
  <c r="T386" i="1" s="1"/>
  <c r="R318" i="1"/>
  <c r="S318" i="1"/>
  <c r="T318" i="1" s="1"/>
  <c r="S409" i="1"/>
  <c r="T409" i="1" s="1"/>
  <c r="R409" i="1"/>
  <c r="S314" i="1"/>
  <c r="T314" i="1" s="1"/>
  <c r="R314" i="1"/>
  <c r="S317" i="1"/>
  <c r="T317" i="1" s="1"/>
  <c r="R317" i="1"/>
  <c r="S354" i="1"/>
  <c r="T354" i="1" s="1"/>
  <c r="R354" i="1"/>
  <c r="S316" i="1"/>
  <c r="T316" i="1" s="1"/>
  <c r="R316" i="1"/>
  <c r="R320" i="1"/>
  <c r="S320" i="1"/>
  <c r="T320" i="1" s="1"/>
  <c r="S340" i="1"/>
  <c r="T340" i="1" s="1"/>
  <c r="R340" i="1"/>
  <c r="R413" i="1"/>
  <c r="S413" i="1"/>
  <c r="T413" i="1" s="1"/>
  <c r="R312" i="1"/>
  <c r="S312" i="1"/>
  <c r="T312" i="1" s="1"/>
  <c r="S333" i="1"/>
  <c r="T333" i="1" s="1"/>
  <c r="R333" i="1"/>
  <c r="R334" i="1"/>
  <c r="S334" i="1"/>
  <c r="T334" i="1" s="1"/>
  <c r="R313" i="1"/>
  <c r="S313" i="1"/>
  <c r="T313" i="1" s="1"/>
  <c r="S309" i="1"/>
  <c r="R309" i="1"/>
  <c r="S435" i="1"/>
  <c r="T435" i="1" s="1"/>
  <c r="R435" i="1"/>
  <c r="S444" i="1"/>
  <c r="T444" i="1" s="1"/>
  <c r="R444" i="1"/>
  <c r="S536" i="1"/>
  <c r="T536" i="1" s="1"/>
  <c r="R536" i="1"/>
  <c r="S494" i="1"/>
  <c r="T494" i="1" s="1"/>
  <c r="R494" i="1"/>
  <c r="S461" i="1"/>
  <c r="T461" i="1" s="1"/>
  <c r="R461" i="1"/>
  <c r="S424" i="1"/>
  <c r="T424" i="1" s="1"/>
  <c r="R424" i="1"/>
  <c r="S445" i="1"/>
  <c r="T445" i="1" s="1"/>
  <c r="R445" i="1"/>
  <c r="S503" i="1"/>
  <c r="T503" i="1" s="1"/>
  <c r="R503" i="1"/>
  <c r="S454" i="1"/>
  <c r="T454" i="1" s="1"/>
  <c r="R454" i="1"/>
  <c r="S436" i="1"/>
  <c r="T436" i="1" s="1"/>
  <c r="R436" i="1"/>
  <c r="S502" i="1"/>
  <c r="T502" i="1" s="1"/>
  <c r="R502" i="1"/>
  <c r="S457" i="1"/>
  <c r="T457" i="1" s="1"/>
  <c r="R457" i="1"/>
  <c r="S529" i="1"/>
  <c r="T529" i="1" s="1"/>
  <c r="R529" i="1"/>
  <c r="S452" i="1"/>
  <c r="T452" i="1" s="1"/>
  <c r="R452" i="1"/>
  <c r="S544" i="1"/>
  <c r="T544" i="1" s="1"/>
  <c r="R544" i="1"/>
  <c r="S429" i="1"/>
  <c r="T429" i="1" s="1"/>
  <c r="R429" i="1"/>
  <c r="S464" i="1"/>
  <c r="T464" i="1" s="1"/>
  <c r="R464" i="1"/>
  <c r="S489" i="1"/>
  <c r="T489" i="1" s="1"/>
  <c r="R489" i="1"/>
  <c r="S469" i="1"/>
  <c r="T469" i="1" s="1"/>
  <c r="R469" i="1"/>
  <c r="S465" i="1"/>
  <c r="T465" i="1" s="1"/>
  <c r="R465" i="1"/>
  <c r="S466" i="1"/>
  <c r="T466" i="1" s="1"/>
  <c r="R466" i="1"/>
  <c r="S456" i="1"/>
  <c r="T456" i="1" s="1"/>
  <c r="R456" i="1"/>
  <c r="S468" i="1"/>
  <c r="T468" i="1" s="1"/>
  <c r="R468" i="1"/>
  <c r="S442" i="1"/>
  <c r="T442" i="1" s="1"/>
  <c r="R442" i="1"/>
  <c r="S488" i="1"/>
  <c r="T488" i="1" s="1"/>
  <c r="R488" i="1"/>
  <c r="S472" i="1"/>
  <c r="T472" i="1" s="1"/>
  <c r="R472" i="1"/>
  <c r="S430" i="1"/>
  <c r="T430" i="1" s="1"/>
  <c r="R430" i="1"/>
  <c r="S458" i="1"/>
  <c r="T458" i="1" s="1"/>
  <c r="R458" i="1"/>
  <c r="S500" i="1"/>
  <c r="T500" i="1" s="1"/>
  <c r="R500" i="1"/>
  <c r="S441" i="1"/>
  <c r="T441" i="1" s="1"/>
  <c r="R441" i="1"/>
  <c r="S446" i="1"/>
  <c r="T446" i="1" s="1"/>
  <c r="R446" i="1"/>
  <c r="S531" i="1"/>
  <c r="T531" i="1" s="1"/>
  <c r="R531" i="1"/>
  <c r="S476" i="1"/>
  <c r="T476" i="1" s="1"/>
  <c r="R476" i="1"/>
  <c r="S499" i="1"/>
  <c r="T499" i="1" s="1"/>
  <c r="R499" i="1"/>
  <c r="S530" i="1"/>
  <c r="R530" i="1"/>
  <c r="S513" i="1"/>
  <c r="T513" i="1" s="1"/>
  <c r="R513" i="1"/>
  <c r="S545" i="1"/>
  <c r="T545" i="1" s="1"/>
  <c r="R545" i="1"/>
  <c r="S547" i="1"/>
  <c r="T547" i="1" s="1"/>
  <c r="R547" i="1"/>
  <c r="S552" i="1"/>
  <c r="T552" i="1" s="1"/>
  <c r="R552" i="1"/>
  <c r="S541" i="1"/>
  <c r="T541" i="1" s="1"/>
  <c r="R541" i="1"/>
  <c r="S546" i="1"/>
  <c r="T546" i="1" s="1"/>
  <c r="R546" i="1"/>
  <c r="S481" i="1"/>
  <c r="T481" i="1" s="1"/>
  <c r="R481" i="1"/>
  <c r="S420" i="1"/>
  <c r="R420" i="1"/>
  <c r="S421" i="1"/>
  <c r="T421" i="1" s="1"/>
  <c r="R421" i="1"/>
  <c r="S518" i="1"/>
  <c r="T518" i="1" s="1"/>
  <c r="R518" i="1"/>
  <c r="S554" i="1"/>
  <c r="T554" i="1" s="1"/>
  <c r="R554" i="1"/>
  <c r="S484" i="1"/>
  <c r="T484" i="1" s="1"/>
  <c r="R484" i="1"/>
  <c r="R514" i="1"/>
  <c r="S514" i="1"/>
  <c r="T514" i="1" s="1"/>
  <c r="R553" i="1"/>
  <c r="S553" i="1"/>
  <c r="T553" i="1" s="1"/>
  <c r="R548" i="1"/>
  <c r="S548" i="1"/>
  <c r="T548" i="1" s="1"/>
  <c r="R467" i="1"/>
  <c r="S467" i="1"/>
  <c r="T467" i="1" s="1"/>
  <c r="R497" i="1"/>
  <c r="S497" i="1"/>
  <c r="T497" i="1" s="1"/>
  <c r="R542" i="1"/>
  <c r="S542" i="1"/>
  <c r="T542" i="1" s="1"/>
  <c r="R549" i="1"/>
  <c r="S549" i="1"/>
  <c r="T549" i="1" s="1"/>
  <c r="R551" i="1"/>
  <c r="S551" i="1"/>
  <c r="T551" i="1" s="1"/>
  <c r="R558" i="1"/>
  <c r="S558" i="1"/>
  <c r="T558" i="1" s="1"/>
  <c r="R550" i="1"/>
  <c r="S550" i="1"/>
  <c r="T550" i="1" s="1"/>
  <c r="R423" i="1"/>
  <c r="S423" i="1"/>
  <c r="T423" i="1" s="1"/>
  <c r="R586" i="1"/>
  <c r="S586" i="1"/>
  <c r="T586" i="1" s="1"/>
  <c r="R576" i="1"/>
  <c r="S576" i="1"/>
  <c r="T576" i="1" s="1"/>
  <c r="R577" i="1"/>
  <c r="S577" i="1"/>
  <c r="T577" i="1" s="1"/>
  <c r="R574" i="1"/>
  <c r="S574" i="1"/>
  <c r="T574" i="1" s="1"/>
  <c r="R579" i="1"/>
  <c r="S579" i="1"/>
  <c r="T579" i="1" s="1"/>
  <c r="R569" i="1"/>
  <c r="S569" i="1"/>
  <c r="T569" i="1" s="1"/>
  <c r="R568" i="1"/>
  <c r="S568" i="1"/>
  <c r="T568" i="1" s="1"/>
  <c r="R595" i="1"/>
  <c r="S595" i="1"/>
  <c r="T595" i="1" s="1"/>
  <c r="R593" i="1"/>
  <c r="S593" i="1"/>
  <c r="T593" i="1" s="1"/>
  <c r="R571" i="1"/>
  <c r="S571" i="1"/>
  <c r="T571" i="1" s="1"/>
  <c r="R597" i="1"/>
  <c r="S597" i="1"/>
  <c r="T597" i="1" s="1"/>
  <c r="R596" i="1"/>
  <c r="S596" i="1"/>
  <c r="T596" i="1" s="1"/>
  <c r="R581" i="1"/>
  <c r="S581" i="1"/>
  <c r="T581" i="1" s="1"/>
  <c r="R594" i="1"/>
  <c r="S594" i="1"/>
  <c r="T594" i="1" s="1"/>
  <c r="R565" i="1"/>
  <c r="S565" i="1"/>
  <c r="T565" i="1" s="1"/>
  <c r="R570" i="1"/>
  <c r="S570" i="1"/>
  <c r="T570" i="1" s="1"/>
  <c r="R561" i="1"/>
  <c r="S561" i="1"/>
  <c r="T561" i="1" s="1"/>
  <c r="R598" i="1"/>
  <c r="S598" i="1"/>
  <c r="T598" i="1" s="1"/>
  <c r="R625" i="1"/>
  <c r="S625" i="1"/>
  <c r="T625" i="1" s="1"/>
  <c r="R600" i="1"/>
  <c r="S600" i="1"/>
  <c r="R634" i="1"/>
  <c r="S634" i="1"/>
  <c r="T634" i="1" s="1"/>
  <c r="R658" i="1"/>
  <c r="S658" i="1"/>
  <c r="T658" i="1" s="1"/>
  <c r="R611" i="1"/>
  <c r="S611" i="1"/>
  <c r="T611" i="1" s="1"/>
  <c r="R630" i="1"/>
  <c r="S630" i="1"/>
  <c r="T630" i="1" s="1"/>
  <c r="R609" i="1"/>
  <c r="S609" i="1"/>
  <c r="T609" i="1" s="1"/>
  <c r="R610" i="1"/>
  <c r="S610" i="1"/>
  <c r="T610" i="1" s="1"/>
  <c r="R653" i="1"/>
  <c r="S653" i="1"/>
  <c r="T653" i="1" s="1"/>
  <c r="R602" i="1"/>
  <c r="S602" i="1"/>
  <c r="T602" i="1" s="1"/>
  <c r="R608" i="1"/>
  <c r="S608" i="1"/>
  <c r="T608" i="1" s="1"/>
  <c r="R640" i="1"/>
  <c r="S640" i="1"/>
  <c r="T640" i="1" s="1"/>
  <c r="R628" i="1"/>
  <c r="S628" i="1"/>
  <c r="T628" i="1" s="1"/>
  <c r="R627" i="1"/>
  <c r="S627" i="1"/>
  <c r="T627" i="1" s="1"/>
  <c r="R651" i="1"/>
  <c r="S651" i="1"/>
  <c r="T651" i="1" s="1"/>
  <c r="R652" i="1"/>
  <c r="S652" i="1"/>
  <c r="T652" i="1" s="1"/>
  <c r="R641" i="1"/>
  <c r="S641" i="1"/>
  <c r="T641" i="1" s="1"/>
  <c r="R655" i="1"/>
  <c r="S655" i="1"/>
  <c r="T655" i="1" s="1"/>
  <c r="R654" i="1"/>
  <c r="S654" i="1"/>
  <c r="T654" i="1" s="1"/>
  <c r="R657" i="1"/>
  <c r="S657" i="1"/>
  <c r="T657" i="1" s="1"/>
  <c r="R624" i="1"/>
  <c r="S624" i="1"/>
  <c r="T624" i="1" s="1"/>
  <c r="R607" i="1"/>
  <c r="S607" i="1"/>
  <c r="T607" i="1" s="1"/>
  <c r="R661" i="1"/>
  <c r="S661" i="1"/>
  <c r="T661" i="1" s="1"/>
  <c r="R656" i="1"/>
  <c r="S656" i="1"/>
  <c r="R647" i="1"/>
  <c r="S647" i="1"/>
  <c r="T647" i="1" s="1"/>
  <c r="R605" i="1"/>
  <c r="S605" i="1"/>
  <c r="T605" i="1" s="1"/>
  <c r="R649" i="1"/>
  <c r="S649" i="1"/>
  <c r="T649" i="1" s="1"/>
  <c r="R617" i="1"/>
  <c r="S617" i="1"/>
  <c r="T617" i="1" s="1"/>
  <c r="R632" i="1"/>
  <c r="S632" i="1"/>
  <c r="T632" i="1" s="1"/>
  <c r="R606" i="1"/>
  <c r="S606" i="1"/>
  <c r="R612" i="1"/>
  <c r="S612" i="1"/>
  <c r="T612" i="1" s="1"/>
  <c r="R645" i="1"/>
  <c r="S645" i="1"/>
  <c r="T645" i="1" s="1"/>
  <c r="R642" i="1"/>
  <c r="S642" i="1"/>
  <c r="T642" i="1" s="1"/>
  <c r="R644" i="1"/>
  <c r="S644" i="1"/>
  <c r="T644" i="1" s="1"/>
  <c r="R622" i="1"/>
  <c r="S622" i="1"/>
  <c r="T622" i="1" s="1"/>
  <c r="R636" i="1"/>
  <c r="S636" i="1"/>
  <c r="T636" i="1" s="1"/>
  <c r="R646" i="1"/>
  <c r="S646" i="1"/>
  <c r="T646" i="1" s="1"/>
  <c r="R614" i="1"/>
  <c r="S614" i="1"/>
  <c r="T614" i="1" s="1"/>
  <c r="R637" i="1"/>
  <c r="S637" i="1"/>
  <c r="T637" i="1" s="1"/>
  <c r="S603" i="1"/>
  <c r="T603" i="1" s="1"/>
  <c r="R603" i="1"/>
  <c r="R620" i="1"/>
  <c r="S620" i="1"/>
  <c r="T620" i="1" s="1"/>
  <c r="R626" i="1"/>
  <c r="S626" i="1"/>
  <c r="T626" i="1" s="1"/>
  <c r="R673" i="1"/>
  <c r="S673" i="1"/>
  <c r="T673" i="1" s="1"/>
  <c r="R616" i="1"/>
  <c r="S616" i="1"/>
  <c r="T616" i="1" s="1"/>
  <c r="R621" i="1"/>
  <c r="S621" i="1"/>
  <c r="T621" i="1" s="1"/>
  <c r="R618" i="1"/>
  <c r="S618" i="1"/>
  <c r="T618" i="1" s="1"/>
  <c r="S619" i="1"/>
  <c r="T619" i="1" s="1"/>
  <c r="R619" i="1"/>
  <c r="S664" i="1"/>
  <c r="T664" i="1" s="1"/>
  <c r="R664" i="1"/>
  <c r="S662" i="1"/>
  <c r="T662" i="1" s="1"/>
  <c r="R662" i="1"/>
  <c r="S635" i="1"/>
  <c r="T635" i="1" s="1"/>
  <c r="R635" i="1"/>
  <c r="R665" i="1"/>
  <c r="S665" i="1"/>
  <c r="T665" i="1" s="1"/>
  <c r="S633" i="1"/>
  <c r="T633" i="1" s="1"/>
  <c r="R633" i="1"/>
  <c r="R668" i="1"/>
  <c r="S668" i="1"/>
  <c r="T668" i="1" s="1"/>
  <c r="S666" i="1"/>
  <c r="T666" i="1" s="1"/>
  <c r="R666" i="1"/>
  <c r="R629" i="1"/>
  <c r="S629" i="1"/>
  <c r="T629" i="1" s="1"/>
  <c r="S638" i="1"/>
  <c r="T638" i="1" s="1"/>
  <c r="R638" i="1"/>
  <c r="S648" i="1"/>
  <c r="T648" i="1" s="1"/>
  <c r="R648" i="1"/>
  <c r="R670" i="1"/>
  <c r="S670" i="1"/>
  <c r="T670" i="1" s="1"/>
  <c r="S650" i="1"/>
  <c r="T650" i="1" s="1"/>
  <c r="R650" i="1"/>
  <c r="R604" i="1"/>
  <c r="S604" i="1"/>
  <c r="T604" i="1" s="1"/>
  <c r="S663" i="1"/>
  <c r="T663" i="1" s="1"/>
  <c r="R663" i="1"/>
  <c r="R601" i="1"/>
  <c r="S601" i="1"/>
  <c r="T601" i="1" s="1"/>
  <c r="S671" i="1"/>
  <c r="T671" i="1" s="1"/>
  <c r="R671" i="1"/>
  <c r="S669" i="1"/>
  <c r="T669" i="1" s="1"/>
  <c r="R669" i="1"/>
  <c r="R707" i="1"/>
  <c r="S707" i="1"/>
  <c r="T707" i="1" s="1"/>
  <c r="S691" i="1"/>
  <c r="T691" i="1" s="1"/>
  <c r="R691" i="1"/>
  <c r="R695" i="1"/>
  <c r="S695" i="1"/>
  <c r="T695" i="1" s="1"/>
  <c r="R704" i="1"/>
  <c r="S704" i="1"/>
  <c r="T704" i="1" s="1"/>
  <c r="S738" i="1"/>
  <c r="T738" i="1" s="1"/>
  <c r="R738" i="1"/>
  <c r="R755" i="1"/>
  <c r="S755" i="1"/>
  <c r="T755" i="1" s="1"/>
  <c r="S763" i="1"/>
  <c r="T763" i="1" s="1"/>
  <c r="R763" i="1"/>
  <c r="R729" i="1"/>
  <c r="S729" i="1"/>
  <c r="T729" i="1" s="1"/>
  <c r="S737" i="1"/>
  <c r="T737" i="1" s="1"/>
  <c r="R737" i="1"/>
  <c r="S773" i="1"/>
  <c r="T773" i="1" s="1"/>
  <c r="R773" i="1"/>
  <c r="R747" i="1"/>
  <c r="S747" i="1"/>
  <c r="T747" i="1" s="1"/>
  <c r="R771" i="1"/>
  <c r="S771" i="1"/>
  <c r="T771" i="1" s="1"/>
  <c r="S734" i="1"/>
  <c r="R734" i="1"/>
  <c r="R736" i="1"/>
  <c r="S736" i="1"/>
  <c r="T736" i="1" s="1"/>
  <c r="R774" i="1"/>
  <c r="S774" i="1"/>
  <c r="T774" i="1" s="1"/>
  <c r="S780" i="1"/>
  <c r="T780" i="1" s="1"/>
  <c r="R780" i="1"/>
  <c r="S783" i="1"/>
  <c r="T783" i="1" s="1"/>
  <c r="R783" i="1"/>
  <c r="S782" i="1"/>
  <c r="T782" i="1" s="1"/>
  <c r="R782" i="1"/>
  <c r="S733" i="1"/>
  <c r="T733" i="1" s="1"/>
  <c r="R733" i="1"/>
  <c r="R760" i="1"/>
  <c r="S760" i="1"/>
  <c r="T760" i="1" s="1"/>
  <c r="S769" i="1"/>
  <c r="T769" i="1" s="1"/>
  <c r="R769" i="1"/>
  <c r="S739" i="1"/>
  <c r="T739" i="1" s="1"/>
  <c r="R739" i="1"/>
  <c r="S784" i="1"/>
  <c r="T784" i="1" s="1"/>
  <c r="R784" i="1"/>
  <c r="S785" i="1"/>
  <c r="T785" i="1" s="1"/>
  <c r="R785" i="1"/>
  <c r="S731" i="1"/>
  <c r="T731" i="1" s="1"/>
  <c r="R731" i="1"/>
  <c r="S750" i="1"/>
  <c r="T750" i="1" s="1"/>
  <c r="R750" i="1"/>
  <c r="S754" i="1"/>
  <c r="T754" i="1" s="1"/>
  <c r="R754" i="1"/>
  <c r="S781" i="1"/>
  <c r="T781" i="1" s="1"/>
  <c r="R781" i="1"/>
  <c r="S728" i="1"/>
  <c r="T728" i="1" s="1"/>
  <c r="R728" i="1"/>
  <c r="S752" i="1"/>
  <c r="T752" i="1" s="1"/>
  <c r="R752" i="1"/>
  <c r="S787" i="1"/>
  <c r="T787" i="1" s="1"/>
  <c r="R787" i="1"/>
  <c r="S732" i="1"/>
  <c r="T732" i="1" s="1"/>
  <c r="R732" i="1"/>
  <c r="S788" i="1"/>
  <c r="T788" i="1" s="1"/>
  <c r="R788" i="1"/>
  <c r="S794" i="1"/>
  <c r="R794" i="1"/>
  <c r="S727" i="1"/>
  <c r="S801" i="1" s="1"/>
  <c r="R727" i="1"/>
  <c r="S730" i="1"/>
  <c r="R730" i="1"/>
  <c r="S756" i="1"/>
  <c r="R756" i="1"/>
  <c r="S793" i="1"/>
  <c r="R793" i="1"/>
  <c r="S743" i="1"/>
  <c r="R743" i="1"/>
  <c r="S799" i="1"/>
  <c r="R799" i="1"/>
  <c r="S751" i="1"/>
  <c r="R751" i="1"/>
  <c r="S797" i="1"/>
  <c r="R797" i="1"/>
  <c r="S745" i="1"/>
  <c r="R745" i="1"/>
  <c r="S772" i="1"/>
  <c r="R772" i="1"/>
  <c r="S796" i="1"/>
  <c r="T796" i="1" s="1"/>
  <c r="R796" i="1"/>
  <c r="X796" i="1"/>
  <c r="X753" i="1"/>
  <c r="X723" i="1"/>
  <c r="X687" i="1"/>
  <c r="X719" i="1"/>
  <c r="X698" i="1"/>
  <c r="X721" i="1"/>
  <c r="X676" i="1"/>
  <c r="X722" i="1"/>
  <c r="X681" i="1"/>
  <c r="X685" i="1"/>
  <c r="X690" i="1"/>
  <c r="X684" i="1"/>
  <c r="X677" i="1"/>
  <c r="X697" i="1"/>
  <c r="X688" i="1"/>
  <c r="X693" i="1"/>
  <c r="X709" i="1"/>
  <c r="X714" i="1"/>
  <c r="X718" i="1"/>
  <c r="X680" i="1"/>
  <c r="X712" i="1"/>
  <c r="X678" i="1"/>
  <c r="X701" i="1"/>
  <c r="X699" i="1"/>
  <c r="X702" i="1"/>
  <c r="X710" i="1"/>
  <c r="X720" i="1"/>
  <c r="X703" i="1"/>
  <c r="X713" i="1"/>
  <c r="X682" i="1"/>
  <c r="X696" i="1"/>
  <c r="X689" i="1"/>
  <c r="S538" i="1"/>
  <c r="T538" i="1" s="1"/>
  <c r="R538" i="1"/>
  <c r="R427" i="1"/>
  <c r="S427" i="1"/>
  <c r="T427" i="1" s="1"/>
  <c r="R422" i="1"/>
  <c r="S422" i="1"/>
  <c r="T422" i="1" s="1"/>
  <c r="R426" i="1"/>
  <c r="S426" i="1"/>
  <c r="T426" i="1" s="1"/>
  <c r="R449" i="1"/>
  <c r="S449" i="1"/>
  <c r="T449" i="1" s="1"/>
  <c r="R443" i="1"/>
  <c r="S443" i="1"/>
  <c r="T443" i="1" s="1"/>
  <c r="R492" i="1"/>
  <c r="S492" i="1"/>
  <c r="T492" i="1" s="1"/>
  <c r="R477" i="1"/>
  <c r="S477" i="1"/>
  <c r="T477" i="1" s="1"/>
  <c r="R475" i="1"/>
  <c r="S475" i="1"/>
  <c r="T475" i="1" s="1"/>
  <c r="R453" i="1"/>
  <c r="S453" i="1"/>
  <c r="T453" i="1" s="1"/>
  <c r="R434" i="1"/>
  <c r="S434" i="1"/>
  <c r="T434" i="1" s="1"/>
  <c r="R447" i="1"/>
  <c r="S447" i="1"/>
  <c r="T447" i="1" s="1"/>
  <c r="R506" i="1"/>
  <c r="S506" i="1"/>
  <c r="T506" i="1" s="1"/>
  <c r="R534" i="1"/>
  <c r="S534" i="1"/>
  <c r="T534" i="1" s="1"/>
  <c r="R532" i="1"/>
  <c r="S532" i="1"/>
  <c r="T532" i="1" s="1"/>
  <c r="R516" i="1"/>
  <c r="S516" i="1"/>
  <c r="T516" i="1" s="1"/>
  <c r="R474" i="1"/>
  <c r="S474" i="1"/>
  <c r="T474" i="1" s="1"/>
  <c r="R533" i="1"/>
  <c r="S533" i="1"/>
  <c r="T533" i="1" s="1"/>
  <c r="R527" i="1"/>
  <c r="S527" i="1"/>
  <c r="T527" i="1" s="1"/>
  <c r="R473" i="1"/>
  <c r="S473" i="1"/>
  <c r="T473" i="1" s="1"/>
  <c r="R539" i="1"/>
  <c r="S539" i="1"/>
  <c r="T539" i="1" s="1"/>
  <c r="R478" i="1"/>
  <c r="S478" i="1"/>
  <c r="T478" i="1" s="1"/>
  <c r="R496" i="1"/>
  <c r="S496" i="1"/>
  <c r="T496" i="1" s="1"/>
  <c r="R470" i="1"/>
  <c r="S470" i="1"/>
  <c r="T470" i="1" s="1"/>
  <c r="R501" i="1"/>
  <c r="S501" i="1"/>
  <c r="T501" i="1" s="1"/>
  <c r="R460" i="1"/>
  <c r="S460" i="1"/>
  <c r="T460" i="1" s="1"/>
  <c r="R439" i="1"/>
  <c r="S439" i="1"/>
  <c r="T439" i="1" s="1"/>
  <c r="R455" i="1"/>
  <c r="S455" i="1"/>
  <c r="T455" i="1" s="1"/>
  <c r="R459" i="1"/>
  <c r="S459" i="1"/>
  <c r="T459" i="1" s="1"/>
  <c r="R438" i="1"/>
  <c r="S438" i="1"/>
  <c r="T438" i="1" s="1"/>
  <c r="R451" i="1"/>
  <c r="S451" i="1"/>
  <c r="T451" i="1" s="1"/>
  <c r="R510" i="1"/>
  <c r="S510" i="1"/>
  <c r="T510" i="1" s="1"/>
  <c r="R433" i="1"/>
  <c r="S433" i="1"/>
  <c r="T433" i="1" s="1"/>
  <c r="R557" i="1"/>
  <c r="S557" i="1"/>
  <c r="T557" i="1" s="1"/>
  <c r="R479" i="1"/>
  <c r="S479" i="1"/>
  <c r="T479" i="1" s="1"/>
  <c r="R462" i="1"/>
  <c r="S462" i="1"/>
  <c r="T462" i="1" s="1"/>
  <c r="R535" i="1"/>
  <c r="S535" i="1"/>
  <c r="T535" i="1" s="1"/>
  <c r="R486" i="1"/>
  <c r="S486" i="1"/>
  <c r="T486" i="1" s="1"/>
  <c r="R490" i="1"/>
  <c r="S490" i="1"/>
  <c r="J7" i="2" l="1"/>
  <c r="K7" i="2"/>
  <c r="T679" i="1"/>
  <c r="S724" i="1"/>
  <c r="I14" i="2" s="1"/>
  <c r="T560" i="1"/>
  <c r="S599" i="1"/>
  <c r="I12" i="2" s="1"/>
  <c r="T123" i="1"/>
  <c r="T154" i="1" s="1"/>
  <c r="S154" i="1"/>
  <c r="I8" i="2" s="1"/>
  <c r="I16" i="2" s="1"/>
  <c r="J16" i="2" s="1"/>
  <c r="T157" i="1"/>
  <c r="S308" i="1"/>
  <c r="I9" i="2" s="1"/>
  <c r="T309" i="1"/>
  <c r="S419" i="1"/>
  <c r="I10" i="2" s="1"/>
  <c r="T420" i="1"/>
  <c r="S559" i="1"/>
  <c r="I11" i="2" s="1"/>
  <c r="T600" i="1"/>
  <c r="S674" i="1"/>
  <c r="I13" i="2" s="1"/>
  <c r="S802" i="1"/>
  <c r="I15" i="2"/>
  <c r="F16" i="2"/>
  <c r="G16" i="2"/>
  <c r="T52" i="1"/>
  <c r="T87" i="1"/>
  <c r="T239" i="1"/>
  <c r="X308" i="1"/>
  <c r="T735" i="1"/>
  <c r="X735" i="1"/>
  <c r="T798" i="1"/>
  <c r="X798" i="1"/>
  <c r="T744" i="1"/>
  <c r="X744" i="1"/>
  <c r="T764" i="1"/>
  <c r="X764" i="1"/>
  <c r="T351" i="1"/>
  <c r="X419" i="1"/>
  <c r="T745" i="1"/>
  <c r="X745" i="1"/>
  <c r="T772" i="1"/>
  <c r="X772" i="1"/>
  <c r="T751" i="1"/>
  <c r="X751" i="1"/>
  <c r="T797" i="1"/>
  <c r="X797" i="1"/>
  <c r="T490" i="1"/>
  <c r="X559" i="1"/>
  <c r="T530" i="1"/>
  <c r="X599" i="1"/>
  <c r="T756" i="1"/>
  <c r="X756" i="1"/>
  <c r="T793" i="1"/>
  <c r="X793" i="1"/>
  <c r="T743" i="1"/>
  <c r="X743" i="1"/>
  <c r="T799" i="1"/>
  <c r="X799" i="1"/>
  <c r="T606" i="1"/>
  <c r="T656" i="1"/>
  <c r="T734" i="1"/>
  <c r="T97" i="1"/>
  <c r="X97" i="1"/>
  <c r="T89" i="1"/>
  <c r="X89" i="1"/>
  <c r="T103" i="1"/>
  <c r="X103" i="1"/>
  <c r="T56" i="1"/>
  <c r="X56" i="1"/>
  <c r="T30" i="1"/>
  <c r="X30" i="1"/>
  <c r="T67" i="1"/>
  <c r="X67" i="1"/>
  <c r="T46" i="1"/>
  <c r="X46" i="1"/>
  <c r="T49" i="1"/>
  <c r="X49" i="1"/>
  <c r="T113" i="1"/>
  <c r="X113" i="1"/>
  <c r="T114" i="1"/>
  <c r="X114" i="1"/>
  <c r="T117" i="1"/>
  <c r="X117" i="1"/>
  <c r="T15" i="1"/>
  <c r="X15" i="1"/>
  <c r="T80" i="1"/>
  <c r="X80" i="1"/>
  <c r="T73" i="1"/>
  <c r="X73" i="1"/>
  <c r="T68" i="1"/>
  <c r="X68" i="1"/>
  <c r="T34" i="1"/>
  <c r="X34" i="1"/>
  <c r="T78" i="1"/>
  <c r="X78" i="1"/>
  <c r="T3" i="1"/>
  <c r="T122" i="1" s="1"/>
  <c r="X3" i="1"/>
  <c r="T8" i="1"/>
  <c r="X8" i="1"/>
  <c r="T116" i="1"/>
  <c r="X116" i="1"/>
  <c r="T76" i="1"/>
  <c r="X76" i="1"/>
  <c r="T71" i="1"/>
  <c r="X71" i="1"/>
  <c r="T31" i="1"/>
  <c r="X31" i="1"/>
  <c r="T111" i="1"/>
  <c r="X111" i="1"/>
  <c r="T5" i="1"/>
  <c r="X5" i="1"/>
  <c r="T107" i="1"/>
  <c r="X107" i="1"/>
  <c r="T163" i="1"/>
  <c r="X163" i="1"/>
  <c r="T300" i="1"/>
  <c r="X300" i="1"/>
  <c r="T213" i="1"/>
  <c r="X213" i="1"/>
  <c r="T343" i="1"/>
  <c r="X343" i="1"/>
  <c r="T6" i="1"/>
  <c r="X6" i="1"/>
  <c r="T74" i="1"/>
  <c r="X74" i="1"/>
  <c r="T81" i="1"/>
  <c r="X81" i="1"/>
  <c r="T208" i="1"/>
  <c r="X208" i="1"/>
  <c r="T272" i="1"/>
  <c r="X272" i="1"/>
  <c r="T266" i="1"/>
  <c r="X266" i="1"/>
  <c r="T182" i="1"/>
  <c r="X182" i="1"/>
  <c r="T200" i="1"/>
  <c r="X200" i="1"/>
  <c r="T177" i="1"/>
  <c r="X177" i="1"/>
  <c r="T160" i="1"/>
  <c r="T308" i="1" s="1"/>
  <c r="X160" i="1"/>
  <c r="T210" i="1"/>
  <c r="X210" i="1"/>
  <c r="T299" i="1"/>
  <c r="X299" i="1"/>
  <c r="T204" i="1"/>
  <c r="X204" i="1"/>
  <c r="T794" i="1"/>
  <c r="X794" i="1"/>
  <c r="T727" i="1"/>
  <c r="T801" i="1" s="1"/>
  <c r="X727" i="1"/>
  <c r="T70" i="1"/>
  <c r="X70" i="1"/>
  <c r="T21" i="1"/>
  <c r="X21" i="1"/>
  <c r="T88" i="1"/>
  <c r="X88" i="1"/>
  <c r="T795" i="1"/>
  <c r="X795" i="1"/>
  <c r="T775" i="1"/>
  <c r="X775" i="1"/>
  <c r="T189" i="1"/>
  <c r="X189" i="1"/>
  <c r="T231" i="1"/>
  <c r="X231" i="1"/>
  <c r="T591" i="1"/>
  <c r="X591" i="1"/>
  <c r="T48" i="1"/>
  <c r="X48" i="1"/>
  <c r="T109" i="1"/>
  <c r="X109" i="1"/>
  <c r="T110" i="1"/>
  <c r="X110" i="1"/>
  <c r="T39" i="1"/>
  <c r="X39" i="1"/>
  <c r="T90" i="1"/>
  <c r="X90" i="1"/>
  <c r="T40" i="1"/>
  <c r="X40" i="1"/>
  <c r="X730" i="1"/>
  <c r="T730" i="1"/>
  <c r="X25" i="1"/>
  <c r="X112" i="1"/>
  <c r="X22" i="1"/>
  <c r="X100" i="1"/>
  <c r="X92" i="1"/>
  <c r="X64" i="1"/>
  <c r="X91" i="1"/>
  <c r="X83" i="1"/>
  <c r="X101" i="1"/>
  <c r="X42" i="1"/>
  <c r="X26" i="1"/>
  <c r="X104" i="1"/>
  <c r="X12" i="1"/>
  <c r="X105" i="1"/>
  <c r="X115" i="1"/>
  <c r="X17" i="1"/>
  <c r="X63" i="1"/>
  <c r="X69" i="1"/>
  <c r="X62" i="1"/>
  <c r="X7" i="1"/>
  <c r="X121" i="1"/>
  <c r="X72" i="1"/>
  <c r="X120" i="1"/>
  <c r="X16" i="1"/>
  <c r="X118" i="1"/>
  <c r="X288" i="1"/>
  <c r="X166" i="1"/>
  <c r="X192" i="1"/>
  <c r="X158" i="1"/>
  <c r="X302" i="1"/>
  <c r="X230" i="1"/>
  <c r="X224" i="1"/>
  <c r="X255" i="1"/>
  <c r="X226" i="1"/>
  <c r="X260" i="1"/>
  <c r="X234" i="1"/>
  <c r="X281" i="1"/>
  <c r="X277" i="1"/>
  <c r="X276" i="1"/>
  <c r="X279" i="1"/>
  <c r="X284" i="1"/>
  <c r="X292" i="1"/>
  <c r="X303" i="1"/>
  <c r="X295" i="1"/>
  <c r="X304" i="1"/>
  <c r="X296" i="1"/>
  <c r="X236" i="1"/>
  <c r="X162" i="1"/>
  <c r="X315" i="1"/>
  <c r="X209" i="1"/>
  <c r="X205" i="1"/>
  <c r="X188" i="1"/>
  <c r="X241" i="1"/>
  <c r="X280" i="1"/>
  <c r="X263" i="1"/>
  <c r="X220" i="1"/>
  <c r="X290" i="1"/>
  <c r="X293" i="1"/>
  <c r="X187" i="1"/>
  <c r="X196" i="1"/>
  <c r="X214" i="1"/>
  <c r="X270" i="1"/>
  <c r="X261" i="1"/>
  <c r="X289" i="1"/>
  <c r="X190" i="1"/>
  <c r="X679" i="1"/>
  <c r="X706" i="1"/>
  <c r="X494" i="1"/>
  <c r="X461" i="1"/>
  <c r="X424" i="1"/>
  <c r="X445" i="1"/>
  <c r="X503" i="1"/>
  <c r="X481" i="1"/>
  <c r="X420" i="1"/>
  <c r="X421" i="1"/>
  <c r="X518" i="1"/>
  <c r="X554" i="1"/>
  <c r="X484" i="1"/>
  <c r="X222" i="1"/>
  <c r="X275" i="1"/>
  <c r="X287" i="1"/>
  <c r="X268" i="1"/>
  <c r="X372" i="1"/>
  <c r="X353" i="1"/>
  <c r="X336" i="1"/>
  <c r="X383" i="1"/>
  <c r="X338" i="1"/>
  <c r="X348" i="1"/>
  <c r="X324" i="1"/>
  <c r="X335" i="1"/>
  <c r="X379" i="1"/>
  <c r="X393" i="1"/>
  <c r="X330" i="1"/>
  <c r="X331" i="1"/>
  <c r="X394" i="1"/>
  <c r="X329" i="1"/>
  <c r="X365" i="1"/>
  <c r="X402" i="1"/>
  <c r="X708" i="1"/>
  <c r="X24" i="1"/>
  <c r="X14" i="1"/>
  <c r="X28" i="1"/>
  <c r="X29" i="1"/>
  <c r="X43" i="1"/>
  <c r="X82" i="1"/>
  <c r="X4" i="1"/>
  <c r="X35" i="1"/>
  <c r="X57" i="1"/>
  <c r="X55" i="1"/>
  <c r="X87" i="1"/>
  <c r="X20" i="1"/>
  <c r="X60" i="1"/>
  <c r="X95" i="1"/>
  <c r="X61" i="1"/>
  <c r="X11" i="1"/>
  <c r="X98" i="1"/>
  <c r="X37" i="1"/>
  <c r="X47" i="1"/>
  <c r="X51" i="1"/>
  <c r="X52" i="1"/>
  <c r="X53" i="1"/>
  <c r="X50" i="1"/>
  <c r="X58" i="1"/>
  <c r="X781" i="1"/>
  <c r="X728" i="1"/>
  <c r="X752" i="1"/>
  <c r="X787" i="1"/>
  <c r="X732" i="1"/>
  <c r="X788" i="1"/>
  <c r="X560" i="1"/>
  <c r="X564" i="1"/>
  <c r="X566" i="1"/>
  <c r="X567" i="1"/>
  <c r="X587" i="1"/>
  <c r="X588" i="1"/>
  <c r="X592" i="1"/>
  <c r="X172" i="1"/>
  <c r="X249" i="1"/>
  <c r="X232" i="1"/>
  <c r="X218" i="1"/>
  <c r="X305" i="1"/>
  <c r="X306" i="1"/>
  <c r="X159" i="1"/>
  <c r="X193" i="1"/>
  <c r="X168" i="1"/>
  <c r="X186" i="1"/>
  <c r="X215" i="1"/>
  <c r="X185" i="1"/>
  <c r="X454" i="1"/>
  <c r="X436" i="1"/>
  <c r="X502" i="1"/>
  <c r="X457" i="1"/>
  <c r="X529" i="1"/>
  <c r="X452" i="1"/>
  <c r="X544" i="1"/>
  <c r="X429" i="1"/>
  <c r="X464" i="1"/>
  <c r="X489" i="1"/>
  <c r="X469" i="1"/>
  <c r="X465" i="1"/>
  <c r="X466" i="1"/>
  <c r="X456" i="1"/>
  <c r="X468" i="1"/>
  <c r="X442" i="1"/>
  <c r="X488" i="1"/>
  <c r="X472" i="1"/>
  <c r="X430" i="1"/>
  <c r="X458" i="1"/>
  <c r="X500" i="1"/>
  <c r="X441" i="1"/>
  <c r="X446" i="1"/>
  <c r="X531" i="1"/>
  <c r="X476" i="1"/>
  <c r="X499" i="1"/>
  <c r="X530" i="1"/>
  <c r="X513" i="1"/>
  <c r="X545" i="1"/>
  <c r="X547" i="1"/>
  <c r="X552" i="1"/>
  <c r="X541" i="1"/>
  <c r="X546" i="1"/>
  <c r="X671" i="1"/>
  <c r="X669" i="1"/>
  <c r="X707" i="1"/>
  <c r="X691" i="1"/>
  <c r="X695" i="1"/>
  <c r="X704" i="1"/>
  <c r="X738" i="1"/>
  <c r="X755" i="1"/>
  <c r="X763" i="1"/>
  <c r="X729" i="1"/>
  <c r="X737" i="1"/>
  <c r="X773" i="1"/>
  <c r="X747" i="1"/>
  <c r="X771" i="1"/>
  <c r="X734" i="1"/>
  <c r="X736" i="1"/>
  <c r="X774" i="1"/>
  <c r="X780" i="1"/>
  <c r="X783" i="1"/>
  <c r="X782" i="1"/>
  <c r="X733" i="1"/>
  <c r="X760" i="1"/>
  <c r="X769" i="1"/>
  <c r="X739" i="1"/>
  <c r="X784" i="1"/>
  <c r="X785" i="1"/>
  <c r="X731" i="1"/>
  <c r="X750" i="1"/>
  <c r="X754" i="1"/>
  <c r="X146" i="1"/>
  <c r="X149" i="1"/>
  <c r="X151" i="1"/>
  <c r="X153" i="1"/>
  <c r="X145" i="1"/>
  <c r="X131" i="1"/>
  <c r="X137" i="1"/>
  <c r="X136" i="1"/>
  <c r="X139" i="1"/>
  <c r="X141" i="1"/>
  <c r="X125" i="1"/>
  <c r="X152" i="1"/>
  <c r="X142" i="1"/>
  <c r="X133" i="1"/>
  <c r="X130" i="1"/>
  <c r="X123" i="1"/>
  <c r="X126" i="1"/>
  <c r="X134" i="1"/>
  <c r="X124" i="1"/>
  <c r="X128" i="1"/>
  <c r="X144" i="1"/>
  <c r="X132" i="1"/>
  <c r="X140" i="1"/>
  <c r="X127" i="1"/>
  <c r="X157" i="1"/>
  <c r="X219" i="1"/>
  <c r="X239" i="1"/>
  <c r="X247" i="1"/>
  <c r="X170" i="1"/>
  <c r="X240" i="1"/>
  <c r="X245" i="1"/>
  <c r="X252" i="1"/>
  <c r="X212" i="1"/>
  <c r="X180" i="1"/>
  <c r="X202" i="1"/>
  <c r="X203" i="1"/>
  <c r="X181" i="1"/>
  <c r="X359" i="1"/>
  <c r="X401" i="1"/>
  <c r="X342" i="1"/>
  <c r="X357" i="1"/>
  <c r="X321" i="1"/>
  <c r="X332" i="1"/>
  <c r="X375" i="1"/>
  <c r="X416" i="1"/>
  <c r="X344" i="1"/>
  <c r="X381" i="1"/>
  <c r="X361" i="1"/>
  <c r="X351" i="1"/>
  <c r="X328" i="1"/>
  <c r="X370" i="1"/>
  <c r="X347" i="1"/>
  <c r="X325" i="1"/>
  <c r="X352" i="1"/>
  <c r="X323" i="1"/>
  <c r="X366" i="1"/>
  <c r="X326" i="1"/>
  <c r="X358" i="1"/>
  <c r="X417" i="1"/>
  <c r="X367" i="1"/>
  <c r="X322" i="1"/>
  <c r="X363" i="1"/>
  <c r="X385" i="1"/>
  <c r="X391" i="1"/>
  <c r="X368" i="1"/>
  <c r="X373" i="1"/>
  <c r="X369" i="1"/>
  <c r="X400" i="1"/>
  <c r="X380" i="1"/>
  <c r="X339" i="1"/>
  <c r="X349" i="1"/>
  <c r="X403" i="1"/>
  <c r="X327" i="1"/>
  <c r="X405" i="1"/>
  <c r="X337" i="1"/>
  <c r="X408" i="1"/>
  <c r="X397" i="1"/>
  <c r="X356" i="1"/>
  <c r="X412" i="1"/>
  <c r="X345" i="1"/>
  <c r="X415" i="1"/>
  <c r="X418" i="1"/>
  <c r="X371" i="1"/>
  <c r="X376" i="1"/>
  <c r="X346" i="1"/>
  <c r="X407" i="1"/>
  <c r="X414" i="1"/>
  <c r="X386" i="1"/>
  <c r="X318" i="1"/>
  <c r="X409" i="1"/>
  <c r="X314" i="1"/>
  <c r="X317" i="1"/>
  <c r="X354" i="1"/>
  <c r="X316" i="1"/>
  <c r="X320" i="1"/>
  <c r="X340" i="1"/>
  <c r="X413" i="1"/>
  <c r="X312" i="1"/>
  <c r="X333" i="1"/>
  <c r="X334" i="1"/>
  <c r="X313" i="1"/>
  <c r="X309" i="1"/>
  <c r="X435" i="1"/>
  <c r="X444" i="1"/>
  <c r="X536" i="1"/>
  <c r="X514" i="1"/>
  <c r="X553" i="1"/>
  <c r="X548" i="1"/>
  <c r="X467" i="1"/>
  <c r="X497" i="1"/>
  <c r="X542" i="1"/>
  <c r="X549" i="1"/>
  <c r="X551" i="1"/>
  <c r="X558" i="1"/>
  <c r="X550" i="1"/>
  <c r="X423" i="1"/>
  <c r="X586" i="1"/>
  <c r="X576" i="1"/>
  <c r="X577" i="1"/>
  <c r="X574" i="1"/>
  <c r="X579" i="1"/>
  <c r="X569" i="1"/>
  <c r="X568" i="1"/>
  <c r="X595" i="1"/>
  <c r="X593" i="1"/>
  <c r="X571" i="1"/>
  <c r="X597" i="1"/>
  <c r="X596" i="1"/>
  <c r="X581" i="1"/>
  <c r="X594" i="1"/>
  <c r="X565" i="1"/>
  <c r="X570" i="1"/>
  <c r="X561" i="1"/>
  <c r="X598" i="1"/>
  <c r="X625" i="1"/>
  <c r="X600" i="1"/>
  <c r="X634" i="1"/>
  <c r="X658" i="1"/>
  <c r="X611" i="1"/>
  <c r="X630" i="1"/>
  <c r="X609" i="1"/>
  <c r="X610" i="1"/>
  <c r="X653" i="1"/>
  <c r="X602" i="1"/>
  <c r="X608" i="1"/>
  <c r="X640" i="1"/>
  <c r="X628" i="1"/>
  <c r="X627" i="1"/>
  <c r="X651" i="1"/>
  <c r="X652" i="1"/>
  <c r="X641" i="1"/>
  <c r="X655" i="1"/>
  <c r="X654" i="1"/>
  <c r="X657" i="1"/>
  <c r="X624" i="1"/>
  <c r="X607" i="1"/>
  <c r="X661" i="1"/>
  <c r="X656" i="1"/>
  <c r="X647" i="1"/>
  <c r="X605" i="1"/>
  <c r="X649" i="1"/>
  <c r="X617" i="1"/>
  <c r="X632" i="1"/>
  <c r="X606" i="1"/>
  <c r="X612" i="1"/>
  <c r="X645" i="1"/>
  <c r="X642" i="1"/>
  <c r="X644" i="1"/>
  <c r="X622" i="1"/>
  <c r="X636" i="1"/>
  <c r="X646" i="1"/>
  <c r="X614" i="1"/>
  <c r="X637" i="1"/>
  <c r="X603" i="1"/>
  <c r="X620" i="1"/>
  <c r="X626" i="1"/>
  <c r="X673" i="1"/>
  <c r="X616" i="1"/>
  <c r="X621" i="1"/>
  <c r="X618" i="1"/>
  <c r="X619" i="1"/>
  <c r="X664" i="1"/>
  <c r="X662" i="1"/>
  <c r="X635" i="1"/>
  <c r="X665" i="1"/>
  <c r="X633" i="1"/>
  <c r="X668" i="1"/>
  <c r="X666" i="1"/>
  <c r="X629" i="1"/>
  <c r="X638" i="1"/>
  <c r="X648" i="1"/>
  <c r="X670" i="1"/>
  <c r="X650" i="1"/>
  <c r="X604" i="1"/>
  <c r="X663" i="1"/>
  <c r="X601" i="1"/>
  <c r="X538" i="1"/>
  <c r="X427" i="1"/>
  <c r="X422" i="1"/>
  <c r="X426" i="1"/>
  <c r="X449" i="1"/>
  <c r="X443" i="1"/>
  <c r="X492" i="1"/>
  <c r="X477" i="1"/>
  <c r="X475" i="1"/>
  <c r="X453" i="1"/>
  <c r="X434" i="1"/>
  <c r="X447" i="1"/>
  <c r="X506" i="1"/>
  <c r="X534" i="1"/>
  <c r="X532" i="1"/>
  <c r="X516" i="1"/>
  <c r="X474" i="1"/>
  <c r="X533" i="1"/>
  <c r="X527" i="1"/>
  <c r="X473" i="1"/>
  <c r="X539" i="1"/>
  <c r="X478" i="1"/>
  <c r="X496" i="1"/>
  <c r="X470" i="1"/>
  <c r="X501" i="1"/>
  <c r="X460" i="1"/>
  <c r="X439" i="1"/>
  <c r="X455" i="1"/>
  <c r="X459" i="1"/>
  <c r="X438" i="1"/>
  <c r="X451" i="1"/>
  <c r="X510" i="1"/>
  <c r="X433" i="1"/>
  <c r="X557" i="1"/>
  <c r="X479" i="1"/>
  <c r="X462" i="1"/>
  <c r="X535" i="1"/>
  <c r="X486" i="1"/>
  <c r="X490" i="1"/>
  <c r="J14" i="2" l="1"/>
  <c r="K14" i="2"/>
  <c r="K12" i="2"/>
  <c r="J12" i="2"/>
  <c r="J8" i="2"/>
  <c r="K8" i="2"/>
  <c r="J9" i="2"/>
  <c r="K9" i="2"/>
  <c r="K10" i="2"/>
  <c r="J10" i="2"/>
  <c r="J11" i="2"/>
  <c r="K11" i="2"/>
  <c r="J13" i="2"/>
  <c r="K13" i="2"/>
  <c r="K15" i="2"/>
  <c r="J15" i="2"/>
  <c r="T599" i="1"/>
  <c r="T419" i="1"/>
  <c r="T559" i="1"/>
  <c r="T674" i="1"/>
  <c r="T802" i="1" s="1"/>
  <c r="X122" i="1"/>
  <c r="X154" i="1"/>
  <c r="X674" i="1"/>
  <c r="X724" i="1"/>
  <c r="X802" i="1"/>
  <c r="X801" i="1"/>
  <c r="K16" i="2" l="1"/>
</calcChain>
</file>

<file path=xl/sharedStrings.xml><?xml version="1.0" encoding="utf-8"?>
<sst xmlns="http://schemas.openxmlformats.org/spreadsheetml/2006/main" count="6396" uniqueCount="3659">
  <si>
    <t>Dossier</t>
  </si>
  <si>
    <t>Code</t>
  </si>
  <si>
    <t>N° manuel</t>
  </si>
  <si>
    <t>Client</t>
  </si>
  <si>
    <t>Produit</t>
  </si>
  <si>
    <t>Date échéance</t>
  </si>
  <si>
    <t>Total échéance</t>
  </si>
  <si>
    <t>Intérêt</t>
  </si>
  <si>
    <t>Capital</t>
  </si>
  <si>
    <t>Epargne</t>
  </si>
  <si>
    <t>Commission</t>
  </si>
  <si>
    <t>Contrat</t>
  </si>
  <si>
    <t>Solde</t>
  </si>
  <si>
    <t>M100PRT2025046U00024</t>
  </si>
  <si>
    <t>M10005253</t>
  </si>
  <si>
    <t>A00200005253</t>
  </si>
  <si>
    <t>ESSI ANGUETTE JACQUELINE MARIE MADELEINE 0142834210</t>
  </si>
  <si>
    <t>Crédit BFR</t>
  </si>
  <si>
    <t>10850</t>
  </si>
  <si>
    <t>M100PRT2025046U00028</t>
  </si>
  <si>
    <t>M10006173</t>
  </si>
  <si>
    <t/>
  </si>
  <si>
    <t>OUATTARA TIEME GERMAINE EPSE ACHI 0758639684</t>
  </si>
  <si>
    <t>10916</t>
  </si>
  <si>
    <t>M100PRT2025046U00029</t>
  </si>
  <si>
    <t>M10003325</t>
  </si>
  <si>
    <t>A00200003325</t>
  </si>
  <si>
    <t>CISSE AICHA 0757399758</t>
  </si>
  <si>
    <t>10904</t>
  </si>
  <si>
    <t>M100PRT2025046U00030</t>
  </si>
  <si>
    <t>M10006362</t>
  </si>
  <si>
    <t>KOUA ATTOUHO CATHERINE EPOUSE ABLEGUE 0140540694</t>
  </si>
  <si>
    <t>Crédit investissement</t>
  </si>
  <si>
    <t>10913</t>
  </si>
  <si>
    <t>M100PRT2025046U00033</t>
  </si>
  <si>
    <t>M10006443</t>
  </si>
  <si>
    <t>ANOH BISSIE PATRICIA 0171448825</t>
  </si>
  <si>
    <t>10965</t>
  </si>
  <si>
    <t>M100PRT2025046U00034</t>
  </si>
  <si>
    <t>M10006363</t>
  </si>
  <si>
    <t>BROU AFFOUE AMANDINE 0505356659</t>
  </si>
  <si>
    <t>10963</t>
  </si>
  <si>
    <t>M100PRT2025046U00035</t>
  </si>
  <si>
    <t>M10006417</t>
  </si>
  <si>
    <t>NIAMKE NIANGORAN WILFRIED SCHCNAEL 0777993560</t>
  </si>
  <si>
    <t>10964</t>
  </si>
  <si>
    <t>M100PRT2025046U00039</t>
  </si>
  <si>
    <t>M10006484</t>
  </si>
  <si>
    <t>OWUSU JOHN 0584713699</t>
  </si>
  <si>
    <t>11013</t>
  </si>
  <si>
    <t>M100PRT2025046U00041</t>
  </si>
  <si>
    <t>M10005910</t>
  </si>
  <si>
    <t>A00200005910</t>
  </si>
  <si>
    <t>MOBIO AHOU NADEGE 0789785311</t>
  </si>
  <si>
    <t>11037</t>
  </si>
  <si>
    <t>M100PRT2025046U00042</t>
  </si>
  <si>
    <t>M10004414</t>
  </si>
  <si>
    <t>A00200004414</t>
  </si>
  <si>
    <t>OBROU LARISSA ESTELLE 0749935475</t>
  </si>
  <si>
    <t>11033</t>
  </si>
  <si>
    <t>M100PRT2025046U00043</t>
  </si>
  <si>
    <t>M10006095</t>
  </si>
  <si>
    <t>SIDIBE KINSA 0172978881</t>
  </si>
  <si>
    <t>11039</t>
  </si>
  <si>
    <t>M100PRT2025046U00055</t>
  </si>
  <si>
    <t>M10005441</t>
  </si>
  <si>
    <t>A00200005441</t>
  </si>
  <si>
    <t>KARAMOKO AICHA 0757250962</t>
  </si>
  <si>
    <t>11086</t>
  </si>
  <si>
    <t>M100PRT2025046U00056</t>
  </si>
  <si>
    <t>M10005774</t>
  </si>
  <si>
    <t>A00200005774</t>
  </si>
  <si>
    <t>OKON N GUESSAN SOLANGE GEORGIE 01-70-59-93-20</t>
  </si>
  <si>
    <t>11087</t>
  </si>
  <si>
    <t>M100PRT2025046U00057</t>
  </si>
  <si>
    <t>M10006532</t>
  </si>
  <si>
    <t>ADJOUA IRENE KOFFI 0142449558</t>
  </si>
  <si>
    <t>11095</t>
  </si>
  <si>
    <t>M100PRT2025046U00058</t>
  </si>
  <si>
    <t>M10005736</t>
  </si>
  <si>
    <t>A00200005736</t>
  </si>
  <si>
    <t>ASSI EPOUSE N'GUESSAN NINA TATIANA 0748147902</t>
  </si>
  <si>
    <t>11036</t>
  </si>
  <si>
    <t>M100PRT2025046U00059</t>
  </si>
  <si>
    <t>M10006524</t>
  </si>
  <si>
    <t>HAULE YOUH LEOCADIE 0554565392</t>
  </si>
  <si>
    <t>11117</t>
  </si>
  <si>
    <t>M100PRT2025046U00060</t>
  </si>
  <si>
    <t>M10006528</t>
  </si>
  <si>
    <t>N'GORAN EPOUSE DAN AFFOUE VIVIANE 0707760893</t>
  </si>
  <si>
    <t>11118</t>
  </si>
  <si>
    <t>M100PRT2025046U00061</t>
  </si>
  <si>
    <t>M10005147</t>
  </si>
  <si>
    <t>A00200005147</t>
  </si>
  <si>
    <t>ADJA ADJOBA ISABELLE 0505794026</t>
  </si>
  <si>
    <t>11100</t>
  </si>
  <si>
    <t>M100PRT2025046U00062</t>
  </si>
  <si>
    <t>M10006383</t>
  </si>
  <si>
    <t>YAO N'GUESSAN ROBERT LEON 0170049168</t>
  </si>
  <si>
    <t>11115</t>
  </si>
  <si>
    <t>M100PRT2025046U00063</t>
  </si>
  <si>
    <t>M10005199</t>
  </si>
  <si>
    <t>A00200005199</t>
  </si>
  <si>
    <t>ADJOBI ADJOBA FLORENCE ESTELLE 0757419822</t>
  </si>
  <si>
    <t>11101</t>
  </si>
  <si>
    <t>M100PRT2025046U00064</t>
  </si>
  <si>
    <t>M10006538</t>
  </si>
  <si>
    <t>KOMENAN LOU SAMINI DIANE BLANDINE 0747979624</t>
  </si>
  <si>
    <t>11105</t>
  </si>
  <si>
    <t>M100PRT2025046U00065</t>
  </si>
  <si>
    <t>M10006544</t>
  </si>
  <si>
    <t>KOFFI AMOIN SOLANGE 0709744844</t>
  </si>
  <si>
    <t>11146</t>
  </si>
  <si>
    <t>M100PRT2025047U00026</t>
  </si>
  <si>
    <t>M10005975</t>
  </si>
  <si>
    <t>A00200005975</t>
  </si>
  <si>
    <t>KOUADIO AMA 0757948141</t>
  </si>
  <si>
    <t>10736</t>
  </si>
  <si>
    <t>M100PRT2025047U00073</t>
  </si>
  <si>
    <t>M10006336</t>
  </si>
  <si>
    <t>DRABO SOULEYMANE 0708907904</t>
  </si>
  <si>
    <t>10884</t>
  </si>
  <si>
    <t>M100PRT2025047U00075</t>
  </si>
  <si>
    <t>M10005862</t>
  </si>
  <si>
    <t>A00200005862</t>
  </si>
  <si>
    <t>VOLOU GNAGO OLIVIER 0748233584</t>
  </si>
  <si>
    <t>10877</t>
  </si>
  <si>
    <t>M100PRT2025047U00077</t>
  </si>
  <si>
    <t>M10003520</t>
  </si>
  <si>
    <t>A00200003520</t>
  </si>
  <si>
    <t>ZANMENOU ALIMATOU SADIA 07-57-12-13-20/01-52-41-60-47</t>
  </si>
  <si>
    <t>10874</t>
  </si>
  <si>
    <t>M100PRT2025047U00078</t>
  </si>
  <si>
    <t>M10002575</t>
  </si>
  <si>
    <t>A00200002575</t>
  </si>
  <si>
    <t>KOUASSI ESTELLE 0152512140</t>
  </si>
  <si>
    <t>10872</t>
  </si>
  <si>
    <t>M100PRT2025047U00080</t>
  </si>
  <si>
    <t>M10006317</t>
  </si>
  <si>
    <t>OUATTARA SOUALIHO 0152380710</t>
  </si>
  <si>
    <t>10882</t>
  </si>
  <si>
    <t>M100PRT2025047U00081</t>
  </si>
  <si>
    <t>M10006310</t>
  </si>
  <si>
    <t>AHITE KOUASSI ERIC JEAN-MARC 0715276416</t>
  </si>
  <si>
    <t>10879</t>
  </si>
  <si>
    <t>M100PRT2025047U00082</t>
  </si>
  <si>
    <t>M10006258</t>
  </si>
  <si>
    <t>N'GUESSAN KONAN FRANCK OLIVIER 0708522809</t>
  </si>
  <si>
    <t>10821</t>
  </si>
  <si>
    <t>M100PRT2025047U00084</t>
  </si>
  <si>
    <t>M10006136</t>
  </si>
  <si>
    <t>ASSALE épouse YAO ANGE MARINA 0585729402</t>
  </si>
  <si>
    <t>10894</t>
  </si>
  <si>
    <t>M100PRT2025047U00085</t>
  </si>
  <si>
    <t>M10006353</t>
  </si>
  <si>
    <t>OJEDELE EPOUSE AKANJI THERIZER OLUWABUNMI O 0586551407</t>
  </si>
  <si>
    <t>10901</t>
  </si>
  <si>
    <t>M100PRT2025047U00087</t>
  </si>
  <si>
    <t>M10004826</t>
  </si>
  <si>
    <t>A00200004826</t>
  </si>
  <si>
    <t>SORO FOUNZOGORY 0173718140</t>
  </si>
  <si>
    <t>10890</t>
  </si>
  <si>
    <t>M100PRT2025047U00088</t>
  </si>
  <si>
    <t>M10006309</t>
  </si>
  <si>
    <t>SILUE SOUNGALO 0709080906</t>
  </si>
  <si>
    <t>10871</t>
  </si>
  <si>
    <t>M100PRT2025047U00100</t>
  </si>
  <si>
    <t>M10000417</t>
  </si>
  <si>
    <t>A00200000417</t>
  </si>
  <si>
    <t>N`DAH MANOU 0707938591</t>
  </si>
  <si>
    <t>11071</t>
  </si>
  <si>
    <t>M100PRT2025047U00101</t>
  </si>
  <si>
    <t>M10001610</t>
  </si>
  <si>
    <t>A00200001610</t>
  </si>
  <si>
    <t>NOGBOU  EPOUSE ANIBE AKISSI ELIANE - PELAGIE 0707403728</t>
  </si>
  <si>
    <t>11081</t>
  </si>
  <si>
    <t>M100PRT2025047U00103</t>
  </si>
  <si>
    <t>M10001759</t>
  </si>
  <si>
    <t>A00200001759</t>
  </si>
  <si>
    <t>ELLOH ADJIMAN MADELEINE 0153637707</t>
  </si>
  <si>
    <t>11096</t>
  </si>
  <si>
    <t>M100PRT2025047U00104</t>
  </si>
  <si>
    <t>M10006543</t>
  </si>
  <si>
    <t>DAVON KOROTIMI 0101330304</t>
  </si>
  <si>
    <t>11107</t>
  </si>
  <si>
    <t>M100PRT2025047U00110</t>
  </si>
  <si>
    <t>M10005430</t>
  </si>
  <si>
    <t>A00200005430</t>
  </si>
  <si>
    <t>TIHOUA SELEY AUDREY DORINE 0141267815</t>
  </si>
  <si>
    <t>11125</t>
  </si>
  <si>
    <t>M100PRT2025047U00119</t>
  </si>
  <si>
    <t>M10001071</t>
  </si>
  <si>
    <t>A00200001071</t>
  </si>
  <si>
    <t>KONE  EPOUSE KONATE ASSETOU 0709189429</t>
  </si>
  <si>
    <t>11139</t>
  </si>
  <si>
    <t>M100PRT2025048U00001</t>
  </si>
  <si>
    <t>M10002408</t>
  </si>
  <si>
    <t>A00200002408</t>
  </si>
  <si>
    <t>ABA ASSOHOUN MODESTINE LARISSA 0703348303</t>
  </si>
  <si>
    <t>10681</t>
  </si>
  <si>
    <t>M100PRT2025048U00011</t>
  </si>
  <si>
    <t>M10006261</t>
  </si>
  <si>
    <t>DABILA SALIMATA 0102772205</t>
  </si>
  <si>
    <t>10838</t>
  </si>
  <si>
    <t>M100PRT2025048U00012</t>
  </si>
  <si>
    <t>M10004813</t>
  </si>
  <si>
    <t>A00200004813</t>
  </si>
  <si>
    <t>KADJO MANGUE ELISABETH 0777797121</t>
  </si>
  <si>
    <t>10849</t>
  </si>
  <si>
    <t>M100PRT2025048U00015</t>
  </si>
  <si>
    <t>M10005069</t>
  </si>
  <si>
    <t>A00200005069</t>
  </si>
  <si>
    <t>ATTOUMOU AFFLA MARIE DIANA 0747595321</t>
  </si>
  <si>
    <t>10875</t>
  </si>
  <si>
    <t>M100PRT2025048U00016</t>
  </si>
  <si>
    <t>M10002728</t>
  </si>
  <si>
    <t>A00200002728</t>
  </si>
  <si>
    <t>KACOU AGATHE 0101311916</t>
  </si>
  <si>
    <t>10861</t>
  </si>
  <si>
    <t>M100PRT2025048U00018</t>
  </si>
  <si>
    <t>M10002962</t>
  </si>
  <si>
    <t>A00200002962</t>
  </si>
  <si>
    <t>NIAMKE ALLOUA DELPHINE 0103188157</t>
  </si>
  <si>
    <t>10873</t>
  </si>
  <si>
    <t>M100PRT2025048U00019</t>
  </si>
  <si>
    <t>M10006326</t>
  </si>
  <si>
    <t>YAO KOUAKOU  ALEXANDRE 0152429956</t>
  </si>
  <si>
    <t>10883</t>
  </si>
  <si>
    <t>M100PRT2025048U00022</t>
  </si>
  <si>
    <t>M10006288</t>
  </si>
  <si>
    <t>KOUADIO KOSSONOU AIMEE LYDIE ANITA 0748085344</t>
  </si>
  <si>
    <t>10866</t>
  </si>
  <si>
    <t>M100PRT2025048U00024</t>
  </si>
  <si>
    <t>M10006206</t>
  </si>
  <si>
    <t>DJOGBENOU GOUDJANOU MAWOUTIN.CH 0544505604</t>
  </si>
  <si>
    <t>10895</t>
  </si>
  <si>
    <t>M100PRT2025048U00027</t>
  </si>
  <si>
    <t>M10006302</t>
  </si>
  <si>
    <t>AHOURE AHOURE JEAN MARC APOPHIX 0554192088</t>
  </si>
  <si>
    <t>10974</t>
  </si>
  <si>
    <t>M100PRT2025048U00030</t>
  </si>
  <si>
    <t>M10005424</t>
  </si>
  <si>
    <t>A00200005424</t>
  </si>
  <si>
    <t>KOUADIO épouse ATSAIN SOPIE ELISABETH 0555292109</t>
  </si>
  <si>
    <t>11000</t>
  </si>
  <si>
    <t>M100PRT2025048U00031</t>
  </si>
  <si>
    <t>M40003743</t>
  </si>
  <si>
    <t>A00400003743</t>
  </si>
  <si>
    <t>DAPLEU TATIANA NEULIE 0789248969</t>
  </si>
  <si>
    <t>10988</t>
  </si>
  <si>
    <t>M100PRT2025048U00042</t>
  </si>
  <si>
    <t>M10004618</t>
  </si>
  <si>
    <t>A00200004618</t>
  </si>
  <si>
    <t>KANGAH ATTOUOH LAURA YVANA 07-67-11-73-79/01-43-18-40-19</t>
  </si>
  <si>
    <t>11066</t>
  </si>
  <si>
    <t>M100PRT2025048U00044</t>
  </si>
  <si>
    <t>M10004151</t>
  </si>
  <si>
    <t>A00200004151</t>
  </si>
  <si>
    <t>FOFANA AICHA 0140221266</t>
  </si>
  <si>
    <t>11084</t>
  </si>
  <si>
    <t>M100PRT2025048U00046</t>
  </si>
  <si>
    <t>M10006530</t>
  </si>
  <si>
    <t>COULIBALY SALIMATA 0544689045</t>
  </si>
  <si>
    <t>11094</t>
  </si>
  <si>
    <t>M100PRT2025048U00047</t>
  </si>
  <si>
    <t>M10001725</t>
  </si>
  <si>
    <t>A00200001725</t>
  </si>
  <si>
    <t>YAO AFFLA MARIE MADELEINE 0708976741</t>
  </si>
  <si>
    <t>11082</t>
  </si>
  <si>
    <t>M100PRT2025048U00048</t>
  </si>
  <si>
    <t>M10001040</t>
  </si>
  <si>
    <t>A00200001040</t>
  </si>
  <si>
    <t>ASSOHOUN AYA 0707837244</t>
  </si>
  <si>
    <t>11058</t>
  </si>
  <si>
    <t>M100PRT2025048U00049</t>
  </si>
  <si>
    <t>M10006514</t>
  </si>
  <si>
    <t>DAH EDWIGE SIDOINE 0546661026</t>
  </si>
  <si>
    <t>11070</t>
  </si>
  <si>
    <t>M100PRT2025048U00050</t>
  </si>
  <si>
    <t>M10006092</t>
  </si>
  <si>
    <t>KONE YACOUBA 0555545827</t>
  </si>
  <si>
    <t>11113</t>
  </si>
  <si>
    <t>M100PRT2025048U00051</t>
  </si>
  <si>
    <t>M10003905</t>
  </si>
  <si>
    <t>A00200003905</t>
  </si>
  <si>
    <t>KOUAMELAN M`PIKE SABINE 0502477955</t>
  </si>
  <si>
    <t>11122</t>
  </si>
  <si>
    <t>M100PRT2025048U00052</t>
  </si>
  <si>
    <t>M10006531</t>
  </si>
  <si>
    <t>YAPO APIE EMILIE 0150914459</t>
  </si>
  <si>
    <t>11127</t>
  </si>
  <si>
    <t>M100PRT2025048U00053</t>
  </si>
  <si>
    <t>M10003345</t>
  </si>
  <si>
    <t>A00200003345</t>
  </si>
  <si>
    <t>AHOURE ADJOBA HORTENSE 0707080673</t>
  </si>
  <si>
    <t>11109</t>
  </si>
  <si>
    <t>M100PRT2025048U00054</t>
  </si>
  <si>
    <t>M10006475</t>
  </si>
  <si>
    <t>FOFANA MAIMOUNA 0565713774</t>
  </si>
  <si>
    <t>11092</t>
  </si>
  <si>
    <t>M100PRT2025049U00053</t>
  </si>
  <si>
    <t>M10006277</t>
  </si>
  <si>
    <t>KADJOKAN BADJO ALPHONSINE 0709340614</t>
  </si>
  <si>
    <t>10911</t>
  </si>
  <si>
    <t>M100PRT2025049U00058</t>
  </si>
  <si>
    <t>M10006387</t>
  </si>
  <si>
    <t>BOUBAKAR BOUHOUBOU DIABIRA 0747231515</t>
  </si>
  <si>
    <t>10938</t>
  </si>
  <si>
    <t>M100PRT2025049U00066</t>
  </si>
  <si>
    <t>M10006042</t>
  </si>
  <si>
    <t>A00200006042</t>
  </si>
  <si>
    <t>KONE NAHOUA 01-43-42-44-79</t>
  </si>
  <si>
    <t>10960</t>
  </si>
  <si>
    <t>M100PRT2025049U00067</t>
  </si>
  <si>
    <t>M10006384</t>
  </si>
  <si>
    <t>BONI KISSI CHARLES 0777398114</t>
  </si>
  <si>
    <t>10915</t>
  </si>
  <si>
    <t>M100PRT2025049U00076</t>
  </si>
  <si>
    <t>M10006329</t>
  </si>
  <si>
    <t>TRAH LOU AMENAN LEA 0709362975</t>
  </si>
  <si>
    <t>11003</t>
  </si>
  <si>
    <t>M100PRT2025049U00077</t>
  </si>
  <si>
    <t>M10006479</t>
  </si>
  <si>
    <t>BERMONE HAWA 0151367736</t>
  </si>
  <si>
    <t>11012</t>
  </si>
  <si>
    <t>M100PRT2025049U00078</t>
  </si>
  <si>
    <t>M10005289</t>
  </si>
  <si>
    <t>A00200005289</t>
  </si>
  <si>
    <t>TRAORE ADJARATOU 0545961404</t>
  </si>
  <si>
    <t>10999</t>
  </si>
  <si>
    <t>M100PRT2025049U00079</t>
  </si>
  <si>
    <t>M10004052</t>
  </si>
  <si>
    <t>A00200004052</t>
  </si>
  <si>
    <t>MITOKPE SEDOMON NADEGE PULCHERIE 0143114710</t>
  </si>
  <si>
    <t>10991</t>
  </si>
  <si>
    <t>M100PRT2025049U00087</t>
  </si>
  <si>
    <t>M10006487</t>
  </si>
  <si>
    <t>DAYAMBA ADAMA 0566271188</t>
  </si>
  <si>
    <t>11026</t>
  </si>
  <si>
    <t>M100PRT2025049U00088</t>
  </si>
  <si>
    <t>M10002216</t>
  </si>
  <si>
    <t>A00200002216</t>
  </si>
  <si>
    <t>TOUNI TIANA CHANTAL 0747341870</t>
  </si>
  <si>
    <t>11029</t>
  </si>
  <si>
    <t>M100PRT2025049U00089</t>
  </si>
  <si>
    <t>M10006482</t>
  </si>
  <si>
    <t>ZAOUE KOUYA LOU GOEI GRACE ORIANE 0799496507</t>
  </si>
  <si>
    <t>11025</t>
  </si>
  <si>
    <t>M100PRT2025049U00091</t>
  </si>
  <si>
    <t>M10003660</t>
  </si>
  <si>
    <t>A00200003660</t>
  </si>
  <si>
    <t>FATOUMATA CAMARA 0748131421</t>
  </si>
  <si>
    <t>11050</t>
  </si>
  <si>
    <t>M100PRT2025049U00092</t>
  </si>
  <si>
    <t>M10006523</t>
  </si>
  <si>
    <t>NEBIE ZARA 0708619879</t>
  </si>
  <si>
    <t>11056</t>
  </si>
  <si>
    <t>M100PRT2025049U00103</t>
  </si>
  <si>
    <t>M10006495</t>
  </si>
  <si>
    <t>ATCHE EPOUSE N'DA-KABRAN AKASSI ANNE-MARIE 0707864123</t>
  </si>
  <si>
    <t>11103</t>
  </si>
  <si>
    <t>M100PRT2025049U00105</t>
  </si>
  <si>
    <t>M10006539</t>
  </si>
  <si>
    <t>KOUAME AFFOUE ALIDA ZITA 0707546563</t>
  </si>
  <si>
    <t>11106</t>
  </si>
  <si>
    <t>M100PRT2025049U00106</t>
  </si>
  <si>
    <t>M10005035</t>
  </si>
  <si>
    <t>A00200005035</t>
  </si>
  <si>
    <t>KONE BEZOU MARIE ROLANDE 0747639001</t>
  </si>
  <si>
    <t>11110</t>
  </si>
  <si>
    <t>M100PRT2025049U00107</t>
  </si>
  <si>
    <t>M10002722</t>
  </si>
  <si>
    <t>A00200002722</t>
  </si>
  <si>
    <t>KRAIDY M`MIN BERTINE 0140784518</t>
  </si>
  <si>
    <t>11097</t>
  </si>
  <si>
    <t>M100PRT2025049U00108</t>
  </si>
  <si>
    <t>M10006499</t>
  </si>
  <si>
    <t>DIALLO NORAOGO 0101268290</t>
  </si>
  <si>
    <t>11104</t>
  </si>
  <si>
    <t>M100PRT2025049U00109</t>
  </si>
  <si>
    <t>M10002455</t>
  </si>
  <si>
    <t>A00200002455</t>
  </si>
  <si>
    <t>AYEMOU EPOUSE MOULO BISSIE MODESTINE 0546123869</t>
  </si>
  <si>
    <t>11108</t>
  </si>
  <si>
    <t>M100PRT2025049U00110</t>
  </si>
  <si>
    <t>M10006427</t>
  </si>
  <si>
    <t>AMONKPOLE MAGNIN VICTOIRE 0160757379</t>
  </si>
  <si>
    <t>11102</t>
  </si>
  <si>
    <t>M100PRT2025049U00111</t>
  </si>
  <si>
    <t>M10004301</t>
  </si>
  <si>
    <t>A00200004301</t>
  </si>
  <si>
    <t>KANTE FANTA 0506516512</t>
  </si>
  <si>
    <t>11134</t>
  </si>
  <si>
    <t>M100PRT2025049U00112</t>
  </si>
  <si>
    <t>M10004306</t>
  </si>
  <si>
    <t>A00200004306</t>
  </si>
  <si>
    <t>DIARRA SETOU 0555308997</t>
  </si>
  <si>
    <t>11136</t>
  </si>
  <si>
    <t>M100PRT2025049U00113</t>
  </si>
  <si>
    <t>M10004769</t>
  </si>
  <si>
    <t>A00200004769</t>
  </si>
  <si>
    <t>DIARRA AMINATA 0748277299</t>
  </si>
  <si>
    <t>11137</t>
  </si>
  <si>
    <t>M100PRT2025049U00114</t>
  </si>
  <si>
    <t>M10006678</t>
  </si>
  <si>
    <t>SAMBONGOU DANSOUH 0708008968</t>
  </si>
  <si>
    <t>11142</t>
  </si>
  <si>
    <t>M100PRT2025051U00081</t>
  </si>
  <si>
    <t>M10005418</t>
  </si>
  <si>
    <t>A00200005418</t>
  </si>
  <si>
    <t>ACHIMA OCTAVIE AUBIERGE 0565697492</t>
  </si>
  <si>
    <t>Crédit Santé Mucrefab</t>
  </si>
  <si>
    <t>10888</t>
  </si>
  <si>
    <t>M100PRT2025051U00082</t>
  </si>
  <si>
    <t>M10006328</t>
  </si>
  <si>
    <t>KONAN AFFOUE PHILOMENE 0708780111</t>
  </si>
  <si>
    <t>10898</t>
  </si>
  <si>
    <t>M100PRT2025051U00083</t>
  </si>
  <si>
    <t>M10000963</t>
  </si>
  <si>
    <t>A00200000963</t>
  </si>
  <si>
    <t>AMAN SOMALE MARGUERITE 0707178363</t>
  </si>
  <si>
    <t>10903</t>
  </si>
  <si>
    <t>M100PRT2025051U00085</t>
  </si>
  <si>
    <t>M10004895</t>
  </si>
  <si>
    <t>A00200004895</t>
  </si>
  <si>
    <t>BOSSON épouse KOUAME AHISSIA MARIE 0707584780</t>
  </si>
  <si>
    <t>10906</t>
  </si>
  <si>
    <t>M100PRT2025051U00087</t>
  </si>
  <si>
    <t>M10005937</t>
  </si>
  <si>
    <t>A00200005937</t>
  </si>
  <si>
    <t>NDA AGNIMAN JEANNE 0709611368</t>
  </si>
  <si>
    <t>10909</t>
  </si>
  <si>
    <t>M100PRT2025051U00088</t>
  </si>
  <si>
    <t>M10005887</t>
  </si>
  <si>
    <t>A00200005887</t>
  </si>
  <si>
    <t>ASIFIWE SANDRINE 0504300019</t>
  </si>
  <si>
    <t>10908</t>
  </si>
  <si>
    <t>M100PRT2025051U00109</t>
  </si>
  <si>
    <t>M10006355</t>
  </si>
  <si>
    <t>AHOURE ADJIMAN MARIE ROSE 0586147728</t>
  </si>
  <si>
    <t>10929</t>
  </si>
  <si>
    <t>M100PRT2025051U00121</t>
  </si>
  <si>
    <t>M10002985</t>
  </si>
  <si>
    <t>A00200002985</t>
  </si>
  <si>
    <t>AKOI VALOU REGINA MARIE SILVIANNE 0101553217</t>
  </si>
  <si>
    <t>10958</t>
  </si>
  <si>
    <t>M100PRT2025051U00125</t>
  </si>
  <si>
    <t>M10006432</t>
  </si>
  <si>
    <t>KOFFI YVANNE EUNICE AHOUNDJOE AFFALA 0758268541</t>
  </si>
  <si>
    <t>10977</t>
  </si>
  <si>
    <t>M100PRT2025051U00126</t>
  </si>
  <si>
    <t>M10006468</t>
  </si>
  <si>
    <t>AKA AKISSI MIREILLE VINCENTE 0788747606</t>
  </si>
  <si>
    <t>10978</t>
  </si>
  <si>
    <t>M100PRT2025051U00127</t>
  </si>
  <si>
    <t>M10005989</t>
  </si>
  <si>
    <t>A00200005989</t>
  </si>
  <si>
    <t>DJEKE ROSELINE NADEGE 0103860412</t>
  </si>
  <si>
    <t>10971</t>
  </si>
  <si>
    <t>M100PRT2025051U00128</t>
  </si>
  <si>
    <t>M10006431</t>
  </si>
  <si>
    <t>AMON LUCRECHE VANESSA KANGAH 0102231847</t>
  </si>
  <si>
    <t>10976</t>
  </si>
  <si>
    <t>M100PRT2025051U00133</t>
  </si>
  <si>
    <t>M10006031</t>
  </si>
  <si>
    <t>A00200006031</t>
  </si>
  <si>
    <t>AITE SEKA AKOHI MARC-LEGER 0152015989</t>
  </si>
  <si>
    <t>Crédit Scolaire</t>
  </si>
  <si>
    <t>10984</t>
  </si>
  <si>
    <t>M100PRT2025051U00141</t>
  </si>
  <si>
    <t>M10002064</t>
  </si>
  <si>
    <t>A00200002064</t>
  </si>
  <si>
    <t>ADJOBI epouse ADIKOTEKE ABA DANIELLE ESTHER 0757270358</t>
  </si>
  <si>
    <t>10986</t>
  </si>
  <si>
    <t>M100PRT2025051U00143</t>
  </si>
  <si>
    <t>M10006335</t>
  </si>
  <si>
    <t>AHOUAH AHOUAH JOSEPH 0767964995</t>
  </si>
  <si>
    <t>11040</t>
  </si>
  <si>
    <t>M100PRT2025051U00145</t>
  </si>
  <si>
    <t>M10006466</t>
  </si>
  <si>
    <t>AZIATO AKOVI OLGA 0171646659</t>
  </si>
  <si>
    <t>11041</t>
  </si>
  <si>
    <t>M100PRT2025051U00147</t>
  </si>
  <si>
    <t>M10006067</t>
  </si>
  <si>
    <t>DJEKE ANNE GERTRUDE 0779984200</t>
  </si>
  <si>
    <t>11038</t>
  </si>
  <si>
    <t>M100PRT2025051U00148</t>
  </si>
  <si>
    <t>M10005054</t>
  </si>
  <si>
    <t>A00200005054</t>
  </si>
  <si>
    <t>ELLOH épouse NOGBOU AMON GENEVIEVE 0103515147</t>
  </si>
  <si>
    <t>11034</t>
  </si>
  <si>
    <t>M100PRT2025051U00149</t>
  </si>
  <si>
    <t>M10005526</t>
  </si>
  <si>
    <t>A00200005526</t>
  </si>
  <si>
    <t>OUAGADOUGOU GUESWENDE DIEUDONNE 0748452736</t>
  </si>
  <si>
    <t>11001</t>
  </si>
  <si>
    <t>M100PRT2025051U00151</t>
  </si>
  <si>
    <t>M10005803</t>
  </si>
  <si>
    <t>A00200005803</t>
  </si>
  <si>
    <t>NOUTAI ELISABETH 0102725092 0102725092</t>
  </si>
  <si>
    <t>11089</t>
  </si>
  <si>
    <t>M100PRT2025051U00152</t>
  </si>
  <si>
    <t>M10005805</t>
  </si>
  <si>
    <t>A00200005805</t>
  </si>
  <si>
    <t>N`TAYE M`PIKE AIMEE CHRISTIANE 0100687857</t>
  </si>
  <si>
    <t>11091</t>
  </si>
  <si>
    <t>M100PRT2025051U00153</t>
  </si>
  <si>
    <t>M10005799</t>
  </si>
  <si>
    <t>A00200005799</t>
  </si>
  <si>
    <t>KODIANE NANAN ISABELLE CHARLOTTE 05-76-12-48-27</t>
  </si>
  <si>
    <t>11088</t>
  </si>
  <si>
    <t>M100PRT2025051U00154</t>
  </si>
  <si>
    <t>M10005950</t>
  </si>
  <si>
    <t>A00200005950</t>
  </si>
  <si>
    <t>ADIOBY ADIOBY JULIEN 01-01-97-42-47/07-08-74-97-74</t>
  </si>
  <si>
    <t>11090</t>
  </si>
  <si>
    <t>M100PRT2025051U00155</t>
  </si>
  <si>
    <t>M10006038</t>
  </si>
  <si>
    <t>A00200006038</t>
  </si>
  <si>
    <t>OUATTARA ADAMA 0141599412</t>
  </si>
  <si>
    <t>11112</t>
  </si>
  <si>
    <t>M100PRT2025051U00156</t>
  </si>
  <si>
    <t>M10006172</t>
  </si>
  <si>
    <t>KACOU ASSIA 0747912479</t>
  </si>
  <si>
    <t>11114</t>
  </si>
  <si>
    <t>M100PRT2025051U00157</t>
  </si>
  <si>
    <t>M10006035</t>
  </si>
  <si>
    <t>A00200006035</t>
  </si>
  <si>
    <t>NOGBOU NIAMKE ALPHONSE CEDRIC 0140141343</t>
  </si>
  <si>
    <t>11111</t>
  </si>
  <si>
    <t>M100PRT2026047U00001</t>
  </si>
  <si>
    <t>M10001584</t>
  </si>
  <si>
    <t>A00200001584</t>
  </si>
  <si>
    <t>ETTIA ANAN  LYDIE 0140787680</t>
  </si>
  <si>
    <t>11138</t>
  </si>
  <si>
    <t>M100PRT2026047U00002</t>
  </si>
  <si>
    <t>M10006879</t>
  </si>
  <si>
    <t>KOUAMELAN AIME LOUIS SERGE 0706683618</t>
  </si>
  <si>
    <t>11144</t>
  </si>
  <si>
    <t>M100PRT2026047U00003</t>
  </si>
  <si>
    <t>M10006242</t>
  </si>
  <si>
    <t>DOSSO MASSIATI 0797682384</t>
  </si>
  <si>
    <t>11140</t>
  </si>
  <si>
    <t>M100PRT2026047U00004</t>
  </si>
  <si>
    <t>M10006786</t>
  </si>
  <si>
    <t>AMOO MONSURAT 0171880149</t>
  </si>
  <si>
    <t>11143</t>
  </si>
  <si>
    <t>M100PRT2026049U00002</t>
  </si>
  <si>
    <t>M10002672</t>
  </si>
  <si>
    <t>A00200002672</t>
  </si>
  <si>
    <t>KOUADIO EPOUSE ELETE AKOUA FIENIN ROSE 0709673206</t>
  </si>
  <si>
    <t>11135</t>
  </si>
  <si>
    <t>M100PRT2026051U00003</t>
  </si>
  <si>
    <t>M10006657</t>
  </si>
  <si>
    <t>OTCHOUMOU SOUMALE JEANNE 0709728297</t>
  </si>
  <si>
    <t>11152</t>
  </si>
  <si>
    <t>M200PRT2025021U00091</t>
  </si>
  <si>
    <t>M20006626</t>
  </si>
  <si>
    <t>TOURE CHATA 0102336164</t>
  </si>
  <si>
    <t>M200DMD2025074U00139</t>
  </si>
  <si>
    <t>M200PRT2025021U00092</t>
  </si>
  <si>
    <t>M20006655</t>
  </si>
  <si>
    <t>SOULEYMANE MAIMOUNAN 0709424834</t>
  </si>
  <si>
    <t>Crédit Immobilier</t>
  </si>
  <si>
    <t>M200DMD2025090U00152</t>
  </si>
  <si>
    <t>M200PRT2025021U00093</t>
  </si>
  <si>
    <t>M20006661</t>
  </si>
  <si>
    <t>ANGUI AMA CHANTALE 0709352026</t>
  </si>
  <si>
    <t>M200DMD2025074U00142</t>
  </si>
  <si>
    <t>M200PRT2025021U00124</t>
  </si>
  <si>
    <t>M20006805</t>
  </si>
  <si>
    <t>N'ZI KOUADIO N'GUESSAN PATRICIA 0749797147</t>
  </si>
  <si>
    <t>M200DMD2025074U00409</t>
  </si>
  <si>
    <t>M200PRT2025021U00125</t>
  </si>
  <si>
    <t>M20006308</t>
  </si>
  <si>
    <t>BEHI FRANCK JUNIOR 0789101933</t>
  </si>
  <si>
    <t>M200DMD2025074U00387</t>
  </si>
  <si>
    <t>M200PRT2025021U00126</t>
  </si>
  <si>
    <t>M20003769</t>
  </si>
  <si>
    <t>A00100003769</t>
  </si>
  <si>
    <t>ESUMAN COMFORT 0545734966</t>
  </si>
  <si>
    <t>M200DMD2025074U00396</t>
  </si>
  <si>
    <t>M200PRT2025022U00141</t>
  </si>
  <si>
    <t>M20005076</t>
  </si>
  <si>
    <t>A00100005076</t>
  </si>
  <si>
    <t>BROU YAHA CLAUDINE 01-02-01-61-58</t>
  </si>
  <si>
    <t>M200DMD2025074U00283</t>
  </si>
  <si>
    <t>M200PRT2025022U00152</t>
  </si>
  <si>
    <t>M20003132</t>
  </si>
  <si>
    <t>A00100003132</t>
  </si>
  <si>
    <t>CHABI CAROLINE 0707563806</t>
  </si>
  <si>
    <t>M200DMD2025074U00407</t>
  </si>
  <si>
    <t>M200PRT2025022U00153</t>
  </si>
  <si>
    <t>M20005074</t>
  </si>
  <si>
    <t>A00100005074</t>
  </si>
  <si>
    <t>LENGA DJOUMA 0747091665</t>
  </si>
  <si>
    <t>M200DMD2025074U00361</t>
  </si>
  <si>
    <t>M200PRT2025022U00154</t>
  </si>
  <si>
    <t>M20005123</t>
  </si>
  <si>
    <t>A00100005123</t>
  </si>
  <si>
    <t>YAO N GUESSAN IVETTE 05-55-11-35-15</t>
  </si>
  <si>
    <t>M200DMD2025074U00363</t>
  </si>
  <si>
    <t>M200PRT2025023U00010</t>
  </si>
  <si>
    <t>M20006650</t>
  </si>
  <si>
    <t>NIADA MINATA 0142947550</t>
  </si>
  <si>
    <t>M200DMD2025090U00159</t>
  </si>
  <si>
    <t>M200PRT2025023U00011</t>
  </si>
  <si>
    <t>M20005911</t>
  </si>
  <si>
    <t>A00100005911</t>
  </si>
  <si>
    <t>N`ZORE DIDIER 07-48-92-86-29</t>
  </si>
  <si>
    <t>M200DMD2025090U00156</t>
  </si>
  <si>
    <t>M200PRT2025023U00012</t>
  </si>
  <si>
    <t>M20000891</t>
  </si>
  <si>
    <t>A00100000891</t>
  </si>
  <si>
    <t>EBI ADJO EMILIENNE 0749790254</t>
  </si>
  <si>
    <t>M200DMD2025074U00150</t>
  </si>
  <si>
    <t>M200PRT2025023U00013</t>
  </si>
  <si>
    <t>M20006665</t>
  </si>
  <si>
    <t>MELIN NOGBOU CHRISTOPHE 0757363775</t>
  </si>
  <si>
    <t>M200DMD2025090U00158</t>
  </si>
  <si>
    <t>M200PRT2025023U00014</t>
  </si>
  <si>
    <t>M20006163</t>
  </si>
  <si>
    <t>A00100006163</t>
  </si>
  <si>
    <t>EBE ASSIE BERNARD 01-07-80-55-96/9</t>
  </si>
  <si>
    <t>Crédit Tontiniers</t>
  </si>
  <si>
    <t>M200DMD2025074U00146</t>
  </si>
  <si>
    <t>M200PRT2025075U00001</t>
  </si>
  <si>
    <t>M20006657</t>
  </si>
  <si>
    <t>APPIAH SARAH 0585937473</t>
  </si>
  <si>
    <t>M200DMD2025090U00157</t>
  </si>
  <si>
    <t>M200PRT2025075U00012</t>
  </si>
  <si>
    <t>M20006268</t>
  </si>
  <si>
    <t>GNAZOU AKA CHARLES OLIVIER 0708383408</t>
  </si>
  <si>
    <t>M200DMD2025074U00381</t>
  </si>
  <si>
    <t>M200PRT2025075U00013</t>
  </si>
  <si>
    <t>M20004663</t>
  </si>
  <si>
    <t>A00100004663</t>
  </si>
  <si>
    <t>KOFFI AFFOUE LEA 0594271459</t>
  </si>
  <si>
    <t>M200DMD2025074U00367</t>
  </si>
  <si>
    <t>M200PRT2025075U00014</t>
  </si>
  <si>
    <t>M20003526</t>
  </si>
  <si>
    <t>A00100003526</t>
  </si>
  <si>
    <t>BELEMSIGRI AWA 0584037530</t>
  </si>
  <si>
    <t>M200DMD2025074U00370</t>
  </si>
  <si>
    <t>M200PRT2025112U00012</t>
  </si>
  <si>
    <t>M20000193</t>
  </si>
  <si>
    <t>A00100000193</t>
  </si>
  <si>
    <t>BLEOUE MOUHIA 07-07-54-73-07</t>
  </si>
  <si>
    <t>M200DMD2025090U00142</t>
  </si>
  <si>
    <t>M200PRT2025112U00112</t>
  </si>
  <si>
    <t>M20005090</t>
  </si>
  <si>
    <t>A00100005090</t>
  </si>
  <si>
    <t>OUEDA JULIEN 0102665083</t>
  </si>
  <si>
    <t>M200DMD2025074U00275</t>
  </si>
  <si>
    <t>M200PRT2025113U00042</t>
  </si>
  <si>
    <t>M20001576</t>
  </si>
  <si>
    <t>A00100001576</t>
  </si>
  <si>
    <t>KOUASSI ABRAN  ALINE 0707486596</t>
  </si>
  <si>
    <t>M200DMD2025074U00176</t>
  </si>
  <si>
    <t>M200PRT2025113U00071</t>
  </si>
  <si>
    <t>M20004738</t>
  </si>
  <si>
    <t>A00100004738</t>
  </si>
  <si>
    <t>KADJA ALLOUA CHANTAL 07-05-43-08-11</t>
  </si>
  <si>
    <t>M200DMD2025074U00383</t>
  </si>
  <si>
    <t>M200PRT2025113U00081</t>
  </si>
  <si>
    <t>M20000508</t>
  </si>
  <si>
    <t>A00100000508</t>
  </si>
  <si>
    <t>CLAIRE CATHERINE NAOUNOU EPOUSE SERI 0758317683</t>
  </si>
  <si>
    <t>M200DMD2025074U00374</t>
  </si>
  <si>
    <t>M200PRT2025113U00082</t>
  </si>
  <si>
    <t>M20002964</t>
  </si>
  <si>
    <t>A00100002964</t>
  </si>
  <si>
    <t>BALEHI GOULEON ST BERTINE EPSE IBA 0709771504</t>
  </si>
  <si>
    <t>M200DMD2025074U00389</t>
  </si>
  <si>
    <t>M200PRT2025113U00083</t>
  </si>
  <si>
    <t>M20006654</t>
  </si>
  <si>
    <t>COULIBALY SOUTIOH SOLANGE 0757675783</t>
  </si>
  <si>
    <t>M200DMD2025074U00391</t>
  </si>
  <si>
    <t>M200PRT2025113U00099</t>
  </si>
  <si>
    <t>M20006301</t>
  </si>
  <si>
    <t>AMICHIA AMOAN AGNES 0787047805</t>
  </si>
  <si>
    <t>Crédit convention PEJEDEC3</t>
  </si>
  <si>
    <t>M200DMD2025074U00449</t>
  </si>
  <si>
    <t>M200PRT2026021U00003</t>
  </si>
  <si>
    <t>M20003977</t>
  </si>
  <si>
    <t>A00100003977</t>
  </si>
  <si>
    <t>TANOH N'DAH PATRICIA 0708829572</t>
  </si>
  <si>
    <t>M200DMD2026093U00021</t>
  </si>
  <si>
    <t>M200PRT2026113U00002</t>
  </si>
  <si>
    <t>M20005773</t>
  </si>
  <si>
    <t>A00100005773</t>
  </si>
  <si>
    <t>ZABO VERONIQUE EPOUSE BEZIAN 0778646532</t>
  </si>
  <si>
    <t>M200DMD2026093U00005</t>
  </si>
  <si>
    <t>M200PRT2026113U00006</t>
  </si>
  <si>
    <t>M20002871</t>
  </si>
  <si>
    <t>A00100002871</t>
  </si>
  <si>
    <t>YAO AYA ERNESTINE EPOUSE KASSI 0709378934</t>
  </si>
  <si>
    <t>M200DMD2026093U00015</t>
  </si>
  <si>
    <t>A003P202402005</t>
  </si>
  <si>
    <t>M30001501</t>
  </si>
  <si>
    <t>A00300001501</t>
  </si>
  <si>
    <t>KASSI GNIMAN 0747607662</t>
  </si>
  <si>
    <t>Crédit AGRI Production</t>
  </si>
  <si>
    <t>M300PRT2024042U00014</t>
  </si>
  <si>
    <t>M30004745</t>
  </si>
  <si>
    <t>A00300004745</t>
  </si>
  <si>
    <t>DJEDJRO GNAMITCHE ANNE épouse NOMEL 0707788022</t>
  </si>
  <si>
    <t>9126</t>
  </si>
  <si>
    <t>M300PRT2025008U00004</t>
  </si>
  <si>
    <t>M30006255</t>
  </si>
  <si>
    <t>TANOH KOKO AGNES 0710809471</t>
  </si>
  <si>
    <t>9338</t>
  </si>
  <si>
    <t>M300PRT2025008U00005</t>
  </si>
  <si>
    <t>M30005243</t>
  </si>
  <si>
    <t>A00300005243</t>
  </si>
  <si>
    <t>KOUAME AHOU MARIE LOUISE 0709279903</t>
  </si>
  <si>
    <t>9333</t>
  </si>
  <si>
    <t>M300PRT2025008U00006</t>
  </si>
  <si>
    <t>M30006062</t>
  </si>
  <si>
    <t>NEMLIN DAWA MARIE-ESTELLE 0103522142</t>
  </si>
  <si>
    <t>9301</t>
  </si>
  <si>
    <t>M300PRT2025008U00007</t>
  </si>
  <si>
    <t>M30006450</t>
  </si>
  <si>
    <t>YAPI N'CHO ROMUADE CHARBELLE 0707360225</t>
  </si>
  <si>
    <t>9345</t>
  </si>
  <si>
    <t>M300PRT2025008U00009</t>
  </si>
  <si>
    <t>M30006375</t>
  </si>
  <si>
    <t>KOUASSI AKISSI VERONIQUE 0565310809</t>
  </si>
  <si>
    <t>9319</t>
  </si>
  <si>
    <t>M300PRT2025008U00010</t>
  </si>
  <si>
    <t>M30006472</t>
  </si>
  <si>
    <t>ORIA SONIA 0747339101</t>
  </si>
  <si>
    <t>9343</t>
  </si>
  <si>
    <t>M300PRT2025008U00011</t>
  </si>
  <si>
    <t>M30006455</t>
  </si>
  <si>
    <t>EKOMANO JEAN-DE-DIEU 0749522747</t>
  </si>
  <si>
    <t>9341</t>
  </si>
  <si>
    <t>M300PRT2025008U00012</t>
  </si>
  <si>
    <t>M30004272</t>
  </si>
  <si>
    <t>A00300004272</t>
  </si>
  <si>
    <t>KOFFI GNIMA THERESE 03-20-58-63</t>
  </si>
  <si>
    <t>9331</t>
  </si>
  <si>
    <t>M300PRT2025008U00013</t>
  </si>
  <si>
    <t>M30006480</t>
  </si>
  <si>
    <t>SANA ADJOUA ESTHER 0707871777</t>
  </si>
  <si>
    <t>9359</t>
  </si>
  <si>
    <t>M300PRT2025008U00025</t>
  </si>
  <si>
    <t>M30006638</t>
  </si>
  <si>
    <t>BADINI HAMADO 0707901537</t>
  </si>
  <si>
    <t>9430</t>
  </si>
  <si>
    <t>M300PRT2025008U00027</t>
  </si>
  <si>
    <t>M30006294</t>
  </si>
  <si>
    <t>GOHO NADEGE épouse GUEI 0759920646</t>
  </si>
  <si>
    <t>9480</t>
  </si>
  <si>
    <t>M300PRT2025008U00029</t>
  </si>
  <si>
    <t>M30005972</t>
  </si>
  <si>
    <t>A00300005972</t>
  </si>
  <si>
    <t>TRAORE AMED KADER 0769716018</t>
  </si>
  <si>
    <t>9536</t>
  </si>
  <si>
    <t>M300PRT2025019U00009</t>
  </si>
  <si>
    <t>M30007020</t>
  </si>
  <si>
    <t>SEDJI BACHI EUGENIE LESLIE 0767289138</t>
  </si>
  <si>
    <t>M300DMD2025090U00058</t>
  </si>
  <si>
    <t>M300PRT2025019U00010</t>
  </si>
  <si>
    <t>M30007080</t>
  </si>
  <si>
    <t>ZOZO ESTELLE BENNICE EDITH 0585368440</t>
  </si>
  <si>
    <t>M300DMD2025090U00057</t>
  </si>
  <si>
    <t>M300PRT2025040U00015</t>
  </si>
  <si>
    <t>M30005540</t>
  </si>
  <si>
    <t>A00300005540</t>
  </si>
  <si>
    <t>AMON AMIE 0709297397</t>
  </si>
  <si>
    <t>9287</t>
  </si>
  <si>
    <t>M300PRT2025040U00016</t>
  </si>
  <si>
    <t>M30002382</t>
  </si>
  <si>
    <t>A00300002382</t>
  </si>
  <si>
    <t>BAMBA NOBALA 05-06-34-01-87</t>
  </si>
  <si>
    <t>9328</t>
  </si>
  <si>
    <t>M300PRT2025040U00020</t>
  </si>
  <si>
    <t>M30005192</t>
  </si>
  <si>
    <t>A00300005192</t>
  </si>
  <si>
    <t>LAUBOUET NAKRAGNON ESAIE 0749759703</t>
  </si>
  <si>
    <t>9377</t>
  </si>
  <si>
    <t>M300PRT2025040U00021</t>
  </si>
  <si>
    <t>M30003642</t>
  </si>
  <si>
    <t>A00300003642</t>
  </si>
  <si>
    <t>WOSSOUMAN ADJO CLEMENTINE 0748233296</t>
  </si>
  <si>
    <t>9371</t>
  </si>
  <si>
    <t>M300PRT2025040U00029</t>
  </si>
  <si>
    <t>M30004864</t>
  </si>
  <si>
    <t>A00300004864</t>
  </si>
  <si>
    <t>GUEI DAZIHON ESTELLE ELLA épouse YOUBOUE 0779019539</t>
  </si>
  <si>
    <t>9475</t>
  </si>
  <si>
    <t>M300PRT2025040U00030</t>
  </si>
  <si>
    <t>M30005688</t>
  </si>
  <si>
    <t>A00300005688</t>
  </si>
  <si>
    <t>EIRIEMOKHALE DANIEL PETER 0140054576</t>
  </si>
  <si>
    <t>9477</t>
  </si>
  <si>
    <t>M300PRT2025040U00031</t>
  </si>
  <si>
    <t>M30004861</t>
  </si>
  <si>
    <t>A00300004861</t>
  </si>
  <si>
    <t>N'GUESSAN EUNICE ROXANE 88581116</t>
  </si>
  <si>
    <t>9474*</t>
  </si>
  <si>
    <t>M300PRT2025040U00033</t>
  </si>
  <si>
    <t>M30005718</t>
  </si>
  <si>
    <t>A00300005718</t>
  </si>
  <si>
    <t>ASSEUFFY ADICHI CLARISSE épouse YAPO 0719908750</t>
  </si>
  <si>
    <t>9505</t>
  </si>
  <si>
    <t>M300PRT2025041U00054</t>
  </si>
  <si>
    <t>M30005621</t>
  </si>
  <si>
    <t>A00300005621</t>
  </si>
  <si>
    <t>MENSAHADJI SASSOU A. EKPE 07-07-39-32-44/01-41-81-30-00</t>
  </si>
  <si>
    <t>9304</t>
  </si>
  <si>
    <t>M300PRT2025041U00055</t>
  </si>
  <si>
    <t>M30004773</t>
  </si>
  <si>
    <t>A00300004773</t>
  </si>
  <si>
    <t>BLE SIAYOHO LILIANE épouse GNAORE 0707277152</t>
  </si>
  <si>
    <t>9302</t>
  </si>
  <si>
    <t>M300PRT2025041U00061</t>
  </si>
  <si>
    <t>M30004101</t>
  </si>
  <si>
    <t>A00300004101</t>
  </si>
  <si>
    <t>SAVANE AMI 07-07-42-61-01</t>
  </si>
  <si>
    <t>9349</t>
  </si>
  <si>
    <t>M300PRT2025041U00062</t>
  </si>
  <si>
    <t>M30005433</t>
  </si>
  <si>
    <t>A00300005433</t>
  </si>
  <si>
    <t>BLE VERONIQUE KATHE 05-45-38-83-05</t>
  </si>
  <si>
    <t>9303</t>
  </si>
  <si>
    <t>M300PRT2025041U00063</t>
  </si>
  <si>
    <t>M30006403</t>
  </si>
  <si>
    <t>KOFFI AYA PATRICIA 0708439919</t>
  </si>
  <si>
    <t>9321</t>
  </si>
  <si>
    <t>M300PRT2025041U00064</t>
  </si>
  <si>
    <t>M30005371</t>
  </si>
  <si>
    <t>A00300005371</t>
  </si>
  <si>
    <t>TETTEH CHANTAL 05-05-29-91-50</t>
  </si>
  <si>
    <t>9335</t>
  </si>
  <si>
    <t>M300PRT2025041U00065</t>
  </si>
  <si>
    <t>M30004491</t>
  </si>
  <si>
    <t>A00300004491</t>
  </si>
  <si>
    <t>YAO AMOIN THERESE 07-08-29-28-00</t>
  </si>
  <si>
    <t>3901</t>
  </si>
  <si>
    <t>M300PRT2025041U00066</t>
  </si>
  <si>
    <t>M30005370</t>
  </si>
  <si>
    <t>A00300005370</t>
  </si>
  <si>
    <t>AMALAMAN ACOUBA YOLANDE 05-45-98-02-09</t>
  </si>
  <si>
    <t>9334</t>
  </si>
  <si>
    <t>M300PRT2025041U00068</t>
  </si>
  <si>
    <t>M30005039</t>
  </si>
  <si>
    <t>A00300005039</t>
  </si>
  <si>
    <t>MAZAN ETCHI MARIE 0505582997</t>
  </si>
  <si>
    <t>9375</t>
  </si>
  <si>
    <t>M300PRT2025041U00069</t>
  </si>
  <si>
    <t>M30006456</t>
  </si>
  <si>
    <t>SEKA STEPHANIE TRESOR 0758240491</t>
  </si>
  <si>
    <t>9379</t>
  </si>
  <si>
    <t>M300PRT2025041U00070</t>
  </si>
  <si>
    <t>M30006493</t>
  </si>
  <si>
    <t>BRUCE EFUA MAMI 0102277931</t>
  </si>
  <si>
    <t>9381</t>
  </si>
  <si>
    <t>M300PRT2025041U00071</t>
  </si>
  <si>
    <t>M30005650</t>
  </si>
  <si>
    <t>A00300005650</t>
  </si>
  <si>
    <t>MAMADOU KONE 05-05-97-15-26</t>
  </si>
  <si>
    <t>9378</t>
  </si>
  <si>
    <t>M300PRT2025041U00072</t>
  </si>
  <si>
    <t>M30004625</t>
  </si>
  <si>
    <t>A00300004625</t>
  </si>
  <si>
    <t>YAMEOGO FATOUMATA 0757899475</t>
  </si>
  <si>
    <t>9373</t>
  </si>
  <si>
    <t>M300PRT2025041U00074</t>
  </si>
  <si>
    <t>M30004356</t>
  </si>
  <si>
    <t>A00300004356</t>
  </si>
  <si>
    <t>KOUAKOU AMOIN 07-87-34-52-49/01-02-84-72-81</t>
  </si>
  <si>
    <t>9394</t>
  </si>
  <si>
    <t>M300PRT2025041U00075</t>
  </si>
  <si>
    <t>M30005496</t>
  </si>
  <si>
    <t>A00300005496</t>
  </si>
  <si>
    <t>GUENIN YENE PELAGIE 0748985782 0748985782</t>
  </si>
  <si>
    <t>Crédit Financement Vert</t>
  </si>
  <si>
    <t>5496*</t>
  </si>
  <si>
    <t>M300PRT2025041U00076</t>
  </si>
  <si>
    <t>5496**</t>
  </si>
  <si>
    <t>M300PRT2025041U00078</t>
  </si>
  <si>
    <t>M30004727</t>
  </si>
  <si>
    <t>A00300004727</t>
  </si>
  <si>
    <t>HOMIAN AMELAN ALICE 0707169823 0707169823</t>
  </si>
  <si>
    <t>9374</t>
  </si>
  <si>
    <t>M300PRT2025041U00083</t>
  </si>
  <si>
    <t>M30005542</t>
  </si>
  <si>
    <t>A00300005542</t>
  </si>
  <si>
    <t>DOVENON ROCK 0710191319</t>
  </si>
  <si>
    <t>9422</t>
  </si>
  <si>
    <t>M300PRT2025041U00085</t>
  </si>
  <si>
    <t>M30005526</t>
  </si>
  <si>
    <t>A00300005526</t>
  </si>
  <si>
    <t>KOFFI BILE BROU ESTELLE 0506899234</t>
  </si>
  <si>
    <t>9421</t>
  </si>
  <si>
    <t>M300PRT2025041U00086</t>
  </si>
  <si>
    <t>M30006648</t>
  </si>
  <si>
    <t>TRAORE N'DABLA FLORENCE 0749608037</t>
  </si>
  <si>
    <t>9431</t>
  </si>
  <si>
    <t>M300PRT2025041U00087</t>
  </si>
  <si>
    <t>M30006613</t>
  </si>
  <si>
    <t>KOBENAN AFFOUA MOUROUFIE 0504614408</t>
  </si>
  <si>
    <t>9406</t>
  </si>
  <si>
    <t>M300PRT2025041U00088</t>
  </si>
  <si>
    <t>4727</t>
  </si>
  <si>
    <t>M300PRT2025041U00090</t>
  </si>
  <si>
    <t>M30003491</t>
  </si>
  <si>
    <t>A00300003491</t>
  </si>
  <si>
    <t>ADJE NOGBOU PAULINE épouse N'GATTA 0777835580</t>
  </si>
  <si>
    <t>9418</t>
  </si>
  <si>
    <t>M300PRT2025041U00091</t>
  </si>
  <si>
    <t>M30005403</t>
  </si>
  <si>
    <t>A00300005403</t>
  </si>
  <si>
    <t>KANGAH AGBO MANSA LAURENCE 0505413097</t>
  </si>
  <si>
    <t>9453</t>
  </si>
  <si>
    <t>M300PRT2025041U00092</t>
  </si>
  <si>
    <t>M30004498</t>
  </si>
  <si>
    <t>A00300004498</t>
  </si>
  <si>
    <t>SANOGO AMI 0102435562</t>
  </si>
  <si>
    <t>9445</t>
  </si>
  <si>
    <t>M300PRT2025041U00093</t>
  </si>
  <si>
    <t>M30004199</t>
  </si>
  <si>
    <t>A00300004199</t>
  </si>
  <si>
    <t>ANON ROSELYNE SIDONIE épouse ADJI 0102619961</t>
  </si>
  <si>
    <t>9442</t>
  </si>
  <si>
    <t>M300PRT2025041U00094</t>
  </si>
  <si>
    <t>M30004274</t>
  </si>
  <si>
    <t>A00300004274</t>
  </si>
  <si>
    <t>NABINTOU DOUMBIA 0709379305</t>
  </si>
  <si>
    <t>9473</t>
  </si>
  <si>
    <t>M300PRT2025041U00095</t>
  </si>
  <si>
    <t>M30002524</t>
  </si>
  <si>
    <t>A00300002524</t>
  </si>
  <si>
    <t>BROU CHIE MARTHE 0707648867</t>
  </si>
  <si>
    <t>9470</t>
  </si>
  <si>
    <t>M300PRT2025041U00099</t>
  </si>
  <si>
    <t>M30005306</t>
  </si>
  <si>
    <t>A00300005306</t>
  </si>
  <si>
    <t>OUATTARA MARIAM MOUSSOKORO MELANIE 07-68-14-92-53/07-68-27-85-46</t>
  </si>
  <si>
    <t>9500</t>
  </si>
  <si>
    <t>M300PRT2025041U00106</t>
  </si>
  <si>
    <t>M30006741</t>
  </si>
  <si>
    <t>AMISSAH KOBLAN ROLAND 0758943444</t>
  </si>
  <si>
    <t>9507</t>
  </si>
  <si>
    <t>M300PRT2025041U00108</t>
  </si>
  <si>
    <t>M30005598</t>
  </si>
  <si>
    <t>A00300005598</t>
  </si>
  <si>
    <t>N'GUESSAN KACOU YVES EPIPHANE OMER 0769360342</t>
  </si>
  <si>
    <t>9524</t>
  </si>
  <si>
    <t>M300PRT2025042U00025</t>
  </si>
  <si>
    <t>M30000815</t>
  </si>
  <si>
    <t>A00300000815</t>
  </si>
  <si>
    <t>VIRGINIE ENDYLLET APONSAH épouse ALIKO 0555046780</t>
  </si>
  <si>
    <t>9230</t>
  </si>
  <si>
    <t>M300PRT2025042U00042</t>
  </si>
  <si>
    <t>M30005519</t>
  </si>
  <si>
    <t>A00300005519</t>
  </si>
  <si>
    <t>N'GUESSAN AYA SYLVIE CAROLLE 0707836793</t>
  </si>
  <si>
    <t>MCG</t>
  </si>
  <si>
    <t>M300PRT2025042U00050</t>
  </si>
  <si>
    <t>M30004880</t>
  </si>
  <si>
    <t>A00300004880</t>
  </si>
  <si>
    <t>GNALIN SANDRINE LARISSA 07-57-88-10-52</t>
  </si>
  <si>
    <t>9254</t>
  </si>
  <si>
    <t>M300PRT2025042U00063</t>
  </si>
  <si>
    <t>M30004087</t>
  </si>
  <si>
    <t>A00300004087</t>
  </si>
  <si>
    <t>DIRABOU AYE FLORENCE épouse N'KAN 0708793780</t>
  </si>
  <si>
    <t>9299</t>
  </si>
  <si>
    <t>M300PRT2025042U00064</t>
  </si>
  <si>
    <t>M30006370</t>
  </si>
  <si>
    <t>BAMBA MAMADOU 0708584572</t>
  </si>
  <si>
    <t>MCG9239</t>
  </si>
  <si>
    <t>M300PRT2025042U00066</t>
  </si>
  <si>
    <t>M30006409</t>
  </si>
  <si>
    <t>N'GUESSAN ADJOUA ODILE épouse QUENUM 0554992298</t>
  </si>
  <si>
    <t>MCG 000</t>
  </si>
  <si>
    <t>M300PRT2025042U00069</t>
  </si>
  <si>
    <t>M30006710</t>
  </si>
  <si>
    <t>ALLOU COMOE VERONIQUE JEANNE 0719017566</t>
  </si>
  <si>
    <t>9437</t>
  </si>
  <si>
    <t>M300PRT2025042U00070</t>
  </si>
  <si>
    <t>M30006582</t>
  </si>
  <si>
    <t>EBOI DAVID INNOCENT 0565650907</t>
  </si>
  <si>
    <t>9425</t>
  </si>
  <si>
    <t>M300PRT2025042U00072</t>
  </si>
  <si>
    <t>M30006628</t>
  </si>
  <si>
    <t>DJONFAGA MAHAMADOU 0777168301</t>
  </si>
  <si>
    <t>9407</t>
  </si>
  <si>
    <t>M300PRT2025042U00073</t>
  </si>
  <si>
    <t>M30004501</t>
  </si>
  <si>
    <t>A00300004501</t>
  </si>
  <si>
    <t>DELLOH DIAKITE ELIANE épouse OUEDRAOGO 0757717947</t>
  </si>
  <si>
    <t>9419</t>
  </si>
  <si>
    <t>M300PRT2025042U00074</t>
  </si>
  <si>
    <t>M30006579</t>
  </si>
  <si>
    <t>KAMIA SOULAGATA 0505788885</t>
  </si>
  <si>
    <t>9387</t>
  </si>
  <si>
    <t>M300PRT2025042U00079</t>
  </si>
  <si>
    <t>M30006124</t>
  </si>
  <si>
    <t>VANIE VANESSA  EDWIGE épouse WOLFF 0778013740</t>
  </si>
  <si>
    <t>9528</t>
  </si>
  <si>
    <t>M300PRT2025042U00080</t>
  </si>
  <si>
    <t>M30006787</t>
  </si>
  <si>
    <t>ATTA KOSSIA CATHERINE 0546301974</t>
  </si>
  <si>
    <t>9485</t>
  </si>
  <si>
    <t>M300PRT2025042U00082</t>
  </si>
  <si>
    <t>M30006868</t>
  </si>
  <si>
    <t>KOUAMELAN KOUAMELAN VICTOR INNOCENT 0707850542</t>
  </si>
  <si>
    <t>9542</t>
  </si>
  <si>
    <t>M300PRT2025042U00083</t>
  </si>
  <si>
    <t>M30006785</t>
  </si>
  <si>
    <t>TIEU ZRANPIEU ROSE DE LIMA épouse EZANIN 0707957327</t>
  </si>
  <si>
    <t>6785</t>
  </si>
  <si>
    <t>M300PRT2025042U00084</t>
  </si>
  <si>
    <t>M30006795</t>
  </si>
  <si>
    <t>GBEHA FARLONE MIREILLE 0759085416</t>
  </si>
  <si>
    <t>9486</t>
  </si>
  <si>
    <t>M300PRT2025050U00025</t>
  </si>
  <si>
    <t>M30000965</t>
  </si>
  <si>
    <t>A00300000965</t>
  </si>
  <si>
    <t>ZEBE DJAUMAND HIOHOU GILBERTE épouse OBRE 0707008264</t>
  </si>
  <si>
    <t>9188</t>
  </si>
  <si>
    <t>M300PRT2025050U00029</t>
  </si>
  <si>
    <t>M30005247</t>
  </si>
  <si>
    <t>A00300005247</t>
  </si>
  <si>
    <t>OUAKOUBO ROSELINE PRISCA 0758378622</t>
  </si>
  <si>
    <t>9286</t>
  </si>
  <si>
    <t>M300PRT2025103U00006</t>
  </si>
  <si>
    <t>M30006583</t>
  </si>
  <si>
    <t>DIARRA SALIMATA 0102337633</t>
  </si>
  <si>
    <t>9388</t>
  </si>
  <si>
    <t>M300PRT2025103U00012</t>
  </si>
  <si>
    <t>M30006513</t>
  </si>
  <si>
    <t>SEYNI ZAKOU BACHIROU 0103978479</t>
  </si>
  <si>
    <t>9383</t>
  </si>
  <si>
    <t>M300PRT2025103U00014</t>
  </si>
  <si>
    <t>M30004876</t>
  </si>
  <si>
    <t>A00300004876</t>
  </si>
  <si>
    <t>MARIAME KONE épouse LAMINE 0707158591</t>
  </si>
  <si>
    <t>9264</t>
  </si>
  <si>
    <t>M300PRT2025103U00015</t>
  </si>
  <si>
    <t>M30005263</t>
  </si>
  <si>
    <t>A00300005263</t>
  </si>
  <si>
    <t>AFFOLI N DA ADJOUA FLORENCE 07-59-37-37-33/05-86-83-39-06</t>
  </si>
  <si>
    <t>9397</t>
  </si>
  <si>
    <t>M300PRT2025103U00016</t>
  </si>
  <si>
    <t>M30005663</t>
  </si>
  <si>
    <t>A00300005663</t>
  </si>
  <si>
    <t>KOUKOUGNON COLOMBE CYRIANNE 0777030836</t>
  </si>
  <si>
    <t>9400</t>
  </si>
  <si>
    <t>M300PRT2025103U00017</t>
  </si>
  <si>
    <t>M30006643</t>
  </si>
  <si>
    <t>KOUAKOU N'DA  AYA REBECCA épouse AMANI 0101906657</t>
  </si>
  <si>
    <t>9411</t>
  </si>
  <si>
    <t>M300PRT2025103U00018</t>
  </si>
  <si>
    <t>M30006568</t>
  </si>
  <si>
    <t>ANOH ENA ADELAIDE 0596272558</t>
  </si>
  <si>
    <t>9385</t>
  </si>
  <si>
    <t>M300PRT2025103U00026</t>
  </si>
  <si>
    <t>M30006650</t>
  </si>
  <si>
    <t>TARPAGA MAURICE 0140283083</t>
  </si>
  <si>
    <t>9432</t>
  </si>
  <si>
    <t>M300PRT2025103U00027</t>
  </si>
  <si>
    <t>M30006770</t>
  </si>
  <si>
    <t>RAIMI ABDUL FATAI AMZAT 0707797480</t>
  </si>
  <si>
    <t>9463</t>
  </si>
  <si>
    <t>M300PRT2025103U00030</t>
  </si>
  <si>
    <t>M20004969</t>
  </si>
  <si>
    <t>A00100004969</t>
  </si>
  <si>
    <t>EBA DANGUI MARIE-ANGE LEOPOLDINE épouse TADJO 0708333388</t>
  </si>
  <si>
    <t>9450</t>
  </si>
  <si>
    <t>M300PRT2025103U00031</t>
  </si>
  <si>
    <t>M30005023</t>
  </si>
  <si>
    <t>A00300005023</t>
  </si>
  <si>
    <t>AGBODJAN-PRINCE COMBIOKO AKPEDZE 0767304054</t>
  </si>
  <si>
    <t>9451</t>
  </si>
  <si>
    <t>M300PRT2025103U00032</t>
  </si>
  <si>
    <t>M30003489</t>
  </si>
  <si>
    <t>A00300003489</t>
  </si>
  <si>
    <t>VANIE LOU TIE CLARISSE 0758849447</t>
  </si>
  <si>
    <t>9440</t>
  </si>
  <si>
    <t>M300PRT2025103U00033</t>
  </si>
  <si>
    <t>M30003270</t>
  </si>
  <si>
    <t>A00300003270</t>
  </si>
  <si>
    <t>ASSEMIEN DOKO ELLA VICTOIRE 0709228149</t>
  </si>
  <si>
    <t>9369</t>
  </si>
  <si>
    <t>M300PRT2025103U00036</t>
  </si>
  <si>
    <t>M30005043</t>
  </si>
  <si>
    <t>A00300005043</t>
  </si>
  <si>
    <t>KOFFI TANOE MARINA LOUISE 0709818826</t>
  </si>
  <si>
    <t>9452</t>
  </si>
  <si>
    <t>M300PRT2025103U00039</t>
  </si>
  <si>
    <t>M30004396</t>
  </si>
  <si>
    <t>A00300004396</t>
  </si>
  <si>
    <t>PEGNA ZONSELOUE CELIMENE 0707771460</t>
  </si>
  <si>
    <t>9444</t>
  </si>
  <si>
    <t>M300PRT2025103U00041</t>
  </si>
  <si>
    <t>M30004899</t>
  </si>
  <si>
    <t>A00300004899</t>
  </si>
  <si>
    <t>BLE MIREILLE VALERIE 0777956398</t>
  </si>
  <si>
    <t>9449</t>
  </si>
  <si>
    <t>M300PRT2025103U00043</t>
  </si>
  <si>
    <t>M30006490</t>
  </si>
  <si>
    <t>TIAMA SERVICES ET FRERES</t>
  </si>
  <si>
    <t>9426</t>
  </si>
  <si>
    <t>M300PRT2025103U00045</t>
  </si>
  <si>
    <t>M30006134</t>
  </si>
  <si>
    <t>GNAGNE AKMEL ABEL ARISTIDE 0788364175</t>
  </si>
  <si>
    <t>9447</t>
  </si>
  <si>
    <t>M300PRT2025103U00047</t>
  </si>
  <si>
    <t>M30002047</t>
  </si>
  <si>
    <t>A00300002047</t>
  </si>
  <si>
    <t>BACON CELESTINE épouse KOUA WOGNIN 0707966355</t>
  </si>
  <si>
    <t>9439</t>
  </si>
  <si>
    <t>M300PRT2025103U00051</t>
  </si>
  <si>
    <t>M30006878</t>
  </si>
  <si>
    <t>OUATTARA ASSETOU épouse SAMAGACI 0101702121</t>
  </si>
  <si>
    <t>9544</t>
  </si>
  <si>
    <t>M300PRT2025103U00054</t>
  </si>
  <si>
    <t>M30006759</t>
  </si>
  <si>
    <t>N'GUESSAN AMENA AMELIE 0554567654</t>
  </si>
  <si>
    <t>9483</t>
  </si>
  <si>
    <t>M300PRT2025103U00055</t>
  </si>
  <si>
    <t>M30006802</t>
  </si>
  <si>
    <t>KOUAME KOUASSI AYA SENEBOU MIRIAME 0707002619</t>
  </si>
  <si>
    <t>9487</t>
  </si>
  <si>
    <t>M300PRT2025103U00056</t>
  </si>
  <si>
    <t>M30002653</t>
  </si>
  <si>
    <t>A00300002653</t>
  </si>
  <si>
    <t>GNAMIEN LOUKOU MARIE CHARLOTTE 01-02-97-18-05/07-59-02-24-46</t>
  </si>
  <si>
    <t>9533</t>
  </si>
  <si>
    <t>M300PRT2025103U00058</t>
  </si>
  <si>
    <t>M30005601</t>
  </si>
  <si>
    <t>A00300005601</t>
  </si>
  <si>
    <t>ATCHINE AHOBA LEATITIA 0787198215</t>
  </si>
  <si>
    <t>9525</t>
  </si>
  <si>
    <t>M300PRT2025103U00059</t>
  </si>
  <si>
    <t>M30006869</t>
  </si>
  <si>
    <t>EBRIN KOKO ROLANDE 0700654129</t>
  </si>
  <si>
    <t>9543</t>
  </si>
  <si>
    <t>M300PRT2025103U00060</t>
  </si>
  <si>
    <t>M30005507</t>
  </si>
  <si>
    <t>A00300005507</t>
  </si>
  <si>
    <t>ENAN ALLOUA BLANDINE 0101533851</t>
  </si>
  <si>
    <t>9522</t>
  </si>
  <si>
    <t>M300PRT2025103U00066</t>
  </si>
  <si>
    <t>M30004609</t>
  </si>
  <si>
    <t>A00300004609</t>
  </si>
  <si>
    <t>OWOADE JIMOH SERIFATU 0759760229</t>
  </si>
  <si>
    <t>9496</t>
  </si>
  <si>
    <t>M300PRT2025103U00085</t>
  </si>
  <si>
    <t>M30005705</t>
  </si>
  <si>
    <t>A00300005705</t>
  </si>
  <si>
    <t>MIESSAN YABA LEOCADIE 0747413407</t>
  </si>
  <si>
    <t>9522.</t>
  </si>
  <si>
    <t>M300PRT2025103U00086</t>
  </si>
  <si>
    <t>M30003238</t>
  </si>
  <si>
    <t>A00300003238</t>
  </si>
  <si>
    <t>KOUAKOU DAMA NICOLE épouse KOUASSI 0707788701</t>
  </si>
  <si>
    <t>9517</t>
  </si>
  <si>
    <t>M300PRT2025103U00087</t>
  </si>
  <si>
    <t>M30003381</t>
  </si>
  <si>
    <t>A00300003381</t>
  </si>
  <si>
    <t>DAO NYAWAN 0506590805</t>
  </si>
  <si>
    <t>9518</t>
  </si>
  <si>
    <t>M300PRT2025103U00089</t>
  </si>
  <si>
    <t>M30006874</t>
  </si>
  <si>
    <t>TOURE MASSATIE 0707753507</t>
  </si>
  <si>
    <t>9529</t>
  </si>
  <si>
    <t>M300PRT2025103U00092</t>
  </si>
  <si>
    <t>M30006740</t>
  </si>
  <si>
    <t>DIALLO ROKYA DITE KANSI épouse DIA 0708285121</t>
  </si>
  <si>
    <t>9552</t>
  </si>
  <si>
    <t>M300PRT2025103U00094</t>
  </si>
  <si>
    <t>M30005651</t>
  </si>
  <si>
    <t>A00300005651</t>
  </si>
  <si>
    <t>KOUAME N'DABLA CHRISTIANE 0703175353</t>
  </si>
  <si>
    <t>9569</t>
  </si>
  <si>
    <t>M300PRT2025103U00095</t>
  </si>
  <si>
    <t>M30006901</t>
  </si>
  <si>
    <t>SALAWU ADIJAT S. 0505671547</t>
  </si>
  <si>
    <t>9546</t>
  </si>
  <si>
    <t>M300PRT2025108U00007</t>
  </si>
  <si>
    <t>M30006273</t>
  </si>
  <si>
    <t>TIDJANI MAROUFOU OYENIYI 0142352949</t>
  </si>
  <si>
    <t>M300DMD2025105U00023</t>
  </si>
  <si>
    <t>M300PRT2025108U00011</t>
  </si>
  <si>
    <t>M30006155</t>
  </si>
  <si>
    <t>KONAN KONAN PACOME 0748415151</t>
  </si>
  <si>
    <t>M300DMD2025105U00013</t>
  </si>
  <si>
    <t>M300PRT2025108U00012</t>
  </si>
  <si>
    <t>M30006281</t>
  </si>
  <si>
    <t>OUATTARA KADIDJATOU CELESTINE 0546942731</t>
  </si>
  <si>
    <t>M300DMD2025105U00026</t>
  </si>
  <si>
    <t>M300PRT2025108U00013</t>
  </si>
  <si>
    <t>M30006277</t>
  </si>
  <si>
    <t>DIOHGO BAKAYOKO 0758079274</t>
  </si>
  <si>
    <t>M300DMD2025105U00024</t>
  </si>
  <si>
    <t>M300PRT2025108U00015</t>
  </si>
  <si>
    <t>M30006171</t>
  </si>
  <si>
    <t>FAE PACOME 0789929865</t>
  </si>
  <si>
    <t>M300DMD2025105U0001</t>
  </si>
  <si>
    <t>M300PRT2025108U00016</t>
  </si>
  <si>
    <t>M30006482</t>
  </si>
  <si>
    <t>ADOU SOPIE RAISSA 0101762313</t>
  </si>
  <si>
    <t>M300DMD2025105U00042</t>
  </si>
  <si>
    <t>M300PRT2025108U00017</t>
  </si>
  <si>
    <t>M30006509</t>
  </si>
  <si>
    <t>NANA AWA 0701972145</t>
  </si>
  <si>
    <t>M300DMD2025105U00040</t>
  </si>
  <si>
    <t>M300PRT2025108U00020</t>
  </si>
  <si>
    <t>M30006333</t>
  </si>
  <si>
    <t>KODJO GENEVIEVE 0707161321</t>
  </si>
  <si>
    <t>M300DMD2025105U00031</t>
  </si>
  <si>
    <t>M300PRT2025108U00023</t>
  </si>
  <si>
    <t>M30006502</t>
  </si>
  <si>
    <t>TCHALAHO TENEDJA 0505807076</t>
  </si>
  <si>
    <t>M300DMD2025090U00001</t>
  </si>
  <si>
    <t>M300PRT2025108U00024</t>
  </si>
  <si>
    <t>M30006605</t>
  </si>
  <si>
    <t>SANOGO AICHA TIECOUM 0708816369</t>
  </si>
  <si>
    <t>M300DMD2025090U00002</t>
  </si>
  <si>
    <t>M300PRT2025108U00025</t>
  </si>
  <si>
    <t>M30006495</t>
  </si>
  <si>
    <t>AKPESSI ANGE MARCELLE IDA YAH 0748077335</t>
  </si>
  <si>
    <t>M300DMD2025090U00003</t>
  </si>
  <si>
    <t>M300PRT2025108U00027</t>
  </si>
  <si>
    <t>M30006249</t>
  </si>
  <si>
    <t>KONE ALIKE AMIDATOU 0748044528</t>
  </si>
  <si>
    <t>M300DMD2025105U00011</t>
  </si>
  <si>
    <t>M300PRT2025108U00029</t>
  </si>
  <si>
    <t>M30006340</t>
  </si>
  <si>
    <t>DOUMBIA AISSATA 0708845279</t>
  </si>
  <si>
    <t>M300DMD2025090U00026</t>
  </si>
  <si>
    <t>M300PRT2025108U00030</t>
  </si>
  <si>
    <t>M30006729</t>
  </si>
  <si>
    <t>DOHO LEYETI KHANE 0103692936</t>
  </si>
  <si>
    <t>Crédit conso</t>
  </si>
  <si>
    <t>M300DMD2025090U00018</t>
  </si>
  <si>
    <t>M300PRT2025108U00031</t>
  </si>
  <si>
    <t>M30006516</t>
  </si>
  <si>
    <t>YOUAN LOU MACHANCE ADELINE 0566127568</t>
  </si>
  <si>
    <t>M300DMD2025090U00006</t>
  </si>
  <si>
    <t>M300PRT2025108U00033</t>
  </si>
  <si>
    <t>M30006692</t>
  </si>
  <si>
    <t>OUATTARA DABARIYAHA PRINCE MODESTE 0758243499</t>
  </si>
  <si>
    <t>M300DMD2025090U00027</t>
  </si>
  <si>
    <t>M300PRT2025108U00035</t>
  </si>
  <si>
    <t>M30006335</t>
  </si>
  <si>
    <t>GNAKI KPOLO VIRGINIE epouse GBESSANE 0151747557</t>
  </si>
  <si>
    <t>M300DMD2025090U00010</t>
  </si>
  <si>
    <t>M300PRT2025108U00036</t>
  </si>
  <si>
    <t>M30006723</t>
  </si>
  <si>
    <t>BITTY SARAH JOSSELYNE 0102951513</t>
  </si>
  <si>
    <t>M300DMD2025090U00015</t>
  </si>
  <si>
    <t>M300PRT2025108U00037</t>
  </si>
  <si>
    <t>M30006683</t>
  </si>
  <si>
    <t>BOHUI JUNIOR STEPHANE ANDRE 0777000493</t>
  </si>
  <si>
    <t>M300DMD2025090U00016</t>
  </si>
  <si>
    <t>M300PRT2025108U00038</t>
  </si>
  <si>
    <t>M30006672</t>
  </si>
  <si>
    <t>YEO NAWA SALIFOU 0709344053</t>
  </si>
  <si>
    <t>M300DMD2025090U00008</t>
  </si>
  <si>
    <t>M300PRT2025108U00039</t>
  </si>
  <si>
    <t>M30006515</t>
  </si>
  <si>
    <t>PALE HINI BRIGITE 0708116414</t>
  </si>
  <si>
    <t>M300DMD2025090U00020</t>
  </si>
  <si>
    <t>M300PRT2025108U00044</t>
  </si>
  <si>
    <t>M30006704</t>
  </si>
  <si>
    <t>WOBGO BOUKARE 0708268460</t>
  </si>
  <si>
    <t>M300DMD2025090U00029</t>
  </si>
  <si>
    <t>M300PRT2025108U00045</t>
  </si>
  <si>
    <t>M30006726</t>
  </si>
  <si>
    <t>COULIBALY OUSMANE BELEKAI 0788598725</t>
  </si>
  <si>
    <t>M300DMD2025090U00017</t>
  </si>
  <si>
    <t>M300PRT2025108U00048</t>
  </si>
  <si>
    <t>M30006738</t>
  </si>
  <si>
    <t>ADJOU ADELEYE EDWIGE 0103343583</t>
  </si>
  <si>
    <t>M300DMD2025090U00035</t>
  </si>
  <si>
    <t>M300PRT2025108U00054</t>
  </si>
  <si>
    <t>M30006862</t>
  </si>
  <si>
    <t>GBENONGBE EBOUA NATACHA épouse OUANYOU 0102987988</t>
  </si>
  <si>
    <t>M300DMD2025090U00048</t>
  </si>
  <si>
    <t>M300PRT2025108U00055</t>
  </si>
  <si>
    <t>M30006788</t>
  </si>
  <si>
    <t>KOUADIO KPLI MARINA OLGA 0102985852</t>
  </si>
  <si>
    <t>M300DMD2025090U00028</t>
  </si>
  <si>
    <t>M300PRT2025108U00056</t>
  </si>
  <si>
    <t>M30006915</t>
  </si>
  <si>
    <t>KOUADIO ADJOUA 0758817057</t>
  </si>
  <si>
    <t>M300DMD2025090U00052</t>
  </si>
  <si>
    <t>M300PRT2025108U00057</t>
  </si>
  <si>
    <t>M30006805</t>
  </si>
  <si>
    <t>SAHI ROSE DE-LIMA 0748718061</t>
  </si>
  <si>
    <t>M300DMD2025090U00039</t>
  </si>
  <si>
    <t>M300PRT2025108U00063</t>
  </si>
  <si>
    <t>M30006983</t>
  </si>
  <si>
    <t>KOSSOKO SEDALIDE LYDIE 0555569987</t>
  </si>
  <si>
    <t>M300DMD2025090U00054</t>
  </si>
  <si>
    <t>M300PRT2025108U00064</t>
  </si>
  <si>
    <t>M30006861</t>
  </si>
  <si>
    <t>SELA AHOU VIRGINIE 0748410245</t>
  </si>
  <si>
    <t>M300DMD2025090U00055</t>
  </si>
  <si>
    <t>M300PRT2025109U00008</t>
  </si>
  <si>
    <t>M30006240</t>
  </si>
  <si>
    <t>GANEMTORE OUSMANE 0708713183</t>
  </si>
  <si>
    <t>9310</t>
  </si>
  <si>
    <t>M300PRT2025109U00009</t>
  </si>
  <si>
    <t>M30006285</t>
  </si>
  <si>
    <t>GOHORE VATTE ABRAHAM 0767767602</t>
  </si>
  <si>
    <t>9311</t>
  </si>
  <si>
    <t>M300PRT2025109U00010</t>
  </si>
  <si>
    <t>M30006373</t>
  </si>
  <si>
    <t>YAO N'DRI SERAPHIN 0709362390</t>
  </si>
  <si>
    <t>9317</t>
  </si>
  <si>
    <t>M300PRT2025109U00011</t>
  </si>
  <si>
    <t>M30006349</t>
  </si>
  <si>
    <t>CAMARA WAWI 0546063423</t>
  </si>
  <si>
    <t>9313</t>
  </si>
  <si>
    <t>M300PRT2025109U00012</t>
  </si>
  <si>
    <t>M30006442</t>
  </si>
  <si>
    <t>ANOH N'GUESSAN AFFAIH MARC ARTHUR 0708501205</t>
  </si>
  <si>
    <t>9340</t>
  </si>
  <si>
    <t>M300PRT2025109U00017</t>
  </si>
  <si>
    <t>M30002771</t>
  </si>
  <si>
    <t>A00300002771</t>
  </si>
  <si>
    <t>COULIBALY ODILE 0749965380</t>
  </si>
  <si>
    <t>9329</t>
  </si>
  <si>
    <t>M300PRT2025109U00018</t>
  </si>
  <si>
    <t>M30006154</t>
  </si>
  <si>
    <t>BAMBA MAH épouse DIABATE 0594392012</t>
  </si>
  <si>
    <t>9337</t>
  </si>
  <si>
    <t>M300PRT2025109U00020</t>
  </si>
  <si>
    <t>M30006474</t>
  </si>
  <si>
    <t>SEKA ADOU FAUSTIN 0759431292</t>
  </si>
  <si>
    <t>9358</t>
  </si>
  <si>
    <t>M300PRT2025109U00021</t>
  </si>
  <si>
    <t>M30006498</t>
  </si>
  <si>
    <t>BOGNI VINTCHEMI NATHALIE 0707462458</t>
  </si>
  <si>
    <t>9361</t>
  </si>
  <si>
    <t>M300PRT2025109U00022</t>
  </si>
  <si>
    <t>M30006471</t>
  </si>
  <si>
    <t>N'GUESSAN AMOIN BERTINE 0708342285</t>
  </si>
  <si>
    <t>9380</t>
  </si>
  <si>
    <t>M300PRT2025109U00029</t>
  </si>
  <si>
    <t>M30006663</t>
  </si>
  <si>
    <t>AKA SIALLOU RUTH 0749677787</t>
  </si>
  <si>
    <t>9415</t>
  </si>
  <si>
    <t>M300PRT2025109U00035</t>
  </si>
  <si>
    <t>M30006753</t>
  </si>
  <si>
    <t>FOFANA MARIAM NADEGE 0708434495</t>
  </si>
  <si>
    <t>9461</t>
  </si>
  <si>
    <t>M300PRT2025109U00036</t>
  </si>
  <si>
    <t>M30006644</t>
  </si>
  <si>
    <t>OSENI VICTORIA AJOKE 0101569565</t>
  </si>
  <si>
    <t>9412</t>
  </si>
  <si>
    <t>M300PRT2025110U00010</t>
  </si>
  <si>
    <t>M30006504</t>
  </si>
  <si>
    <t>KINNOU SETONDJI SEVERIN 0547433698</t>
  </si>
  <si>
    <t>9362</t>
  </si>
  <si>
    <t>M300PRT2025110U00012</t>
  </si>
  <si>
    <t>M30006631</t>
  </si>
  <si>
    <t>EKIEN GNANKON RAYMONDE épouse KESSIE 0708172127</t>
  </si>
  <si>
    <t>9409</t>
  </si>
  <si>
    <t>M300PRT2026041U00001</t>
  </si>
  <si>
    <t>M30007086</t>
  </si>
  <si>
    <t>TRAORE ABDOUL KARIM 0759564961</t>
  </si>
  <si>
    <t>9576</t>
  </si>
  <si>
    <t>M300PRT2026042U00001</t>
  </si>
  <si>
    <t>M30006653</t>
  </si>
  <si>
    <t>POLOU VENELE IDA PAMELA 0153931141</t>
  </si>
  <si>
    <t>9457</t>
  </si>
  <si>
    <t>M400PRT2025031U00056</t>
  </si>
  <si>
    <t>M40004469</t>
  </si>
  <si>
    <t>A00400004469</t>
  </si>
  <si>
    <t>CABINET AFRICAIN D'EXPERTISE ET DE FORMATION</t>
  </si>
  <si>
    <t>8249</t>
  </si>
  <si>
    <t>M400PRT2025032U00063</t>
  </si>
  <si>
    <t>M40004126</t>
  </si>
  <si>
    <t>A00400004126</t>
  </si>
  <si>
    <t>N DA SOPIE ANASTASIE 0707143967</t>
  </si>
  <si>
    <t>8426</t>
  </si>
  <si>
    <t>M400PRT2025032U00065</t>
  </si>
  <si>
    <t>M40003479</t>
  </si>
  <si>
    <t>A00400003479</t>
  </si>
  <si>
    <t>ALLECHI APO APPOLINE EPOUSE ATSE 01-02-50-83-46/05-05-33-46-18</t>
  </si>
  <si>
    <t>8421</t>
  </si>
  <si>
    <t>M400PRT2025032U00066</t>
  </si>
  <si>
    <t>M40010187</t>
  </si>
  <si>
    <t>AKA N'TAHO DENIS STEPHANIE 0103230577</t>
  </si>
  <si>
    <t>8432</t>
  </si>
  <si>
    <t>M400PRT2025032U00067</t>
  </si>
  <si>
    <t>M40003549</t>
  </si>
  <si>
    <t>A00400003549</t>
  </si>
  <si>
    <t>AFFO BLE AGATHE 05-86-83-88-25</t>
  </si>
  <si>
    <t>8422</t>
  </si>
  <si>
    <t>M400PRT2025032U00068</t>
  </si>
  <si>
    <t>M40010324</t>
  </si>
  <si>
    <t>KOUASSI KOUASSI JEAN FIDELE 0586392543</t>
  </si>
  <si>
    <t>8451</t>
  </si>
  <si>
    <t>M400PRT2025032U00071</t>
  </si>
  <si>
    <t>M40003993</t>
  </si>
  <si>
    <t>A00400003993</t>
  </si>
  <si>
    <t>SEKA APIE VANSELLE 05-74-34-77-15/07-49-75-37-08</t>
  </si>
  <si>
    <t>8424</t>
  </si>
  <si>
    <t>M400PRT2025032U00072</t>
  </si>
  <si>
    <t>M40002568</t>
  </si>
  <si>
    <t>A00400002568</t>
  </si>
  <si>
    <t>ANASSE MARIE LYNE DEBORAH 01-73-82-16-15</t>
  </si>
  <si>
    <t>8470</t>
  </si>
  <si>
    <t>M400PRT2025032U00073</t>
  </si>
  <si>
    <t>M40003469</t>
  </si>
  <si>
    <t>A00400003469</t>
  </si>
  <si>
    <t>TRAORE AWA 07-49-06-31-96/05-54-06-21-24</t>
  </si>
  <si>
    <t>8461</t>
  </si>
  <si>
    <t>M400PRT2025032U00075</t>
  </si>
  <si>
    <t>M40010124</t>
  </si>
  <si>
    <t>SINZE GALE SYLVIE 0153122090</t>
  </si>
  <si>
    <t>8465</t>
  </si>
  <si>
    <t>M400PRT2025032U00076</t>
  </si>
  <si>
    <t>M40010326</t>
  </si>
  <si>
    <t>MAGATIGUI BINTOU 0708065515</t>
  </si>
  <si>
    <t>8468</t>
  </si>
  <si>
    <t>M400PRT2025032U00077</t>
  </si>
  <si>
    <t>M40002914</t>
  </si>
  <si>
    <t>A00400002914</t>
  </si>
  <si>
    <t>BOKPA ORO JUSTINE 07-88-13-71-88</t>
  </si>
  <si>
    <t>8458</t>
  </si>
  <si>
    <t>M400PRT2025032U00078</t>
  </si>
  <si>
    <t>M40002916</t>
  </si>
  <si>
    <t>A00400002916</t>
  </si>
  <si>
    <t>LYDIE DJAMA 07-47-30-90-24</t>
  </si>
  <si>
    <t>8459</t>
  </si>
  <si>
    <t>M400PRT2025032U00079</t>
  </si>
  <si>
    <t>M40010327</t>
  </si>
  <si>
    <t>SANGARE ALAMA 0779367915</t>
  </si>
  <si>
    <t>8469</t>
  </si>
  <si>
    <t>M400PRT2025032U00080</t>
  </si>
  <si>
    <t>M40002868</t>
  </si>
  <si>
    <t>A00400002868</t>
  </si>
  <si>
    <t>BANCE RAHINATA 05-66-46-80-60</t>
  </si>
  <si>
    <t>8457</t>
  </si>
  <si>
    <t>M400PRT2025032U00081</t>
  </si>
  <si>
    <t>M40002254</t>
  </si>
  <si>
    <t>A00400002254</t>
  </si>
  <si>
    <t>TCHIMOU OVO EDWIGE FLORA 07-49-29-12-53</t>
  </si>
  <si>
    <t>8454</t>
  </si>
  <si>
    <t>M400PRT2025032U00082</t>
  </si>
  <si>
    <t>M40010360</t>
  </si>
  <si>
    <t>DENI AKISSI JUSTINE 0748944884</t>
  </si>
  <si>
    <t>84701</t>
  </si>
  <si>
    <t>M400PRT2025032U00084</t>
  </si>
  <si>
    <t>M40004357</t>
  </si>
  <si>
    <t>A00400004357</t>
  </si>
  <si>
    <t>BLE DION VIVIANE 01-53-70-14-77/07-03-92-83-64</t>
  </si>
  <si>
    <t>8462</t>
  </si>
  <si>
    <t>M400PRT2025032U00087</t>
  </si>
  <si>
    <t>M40010410</t>
  </si>
  <si>
    <t>IKPE AHINSA JULIETTE 0719665565</t>
  </si>
  <si>
    <t>8493</t>
  </si>
  <si>
    <t>M400PRT2025032U00088</t>
  </si>
  <si>
    <t>M40004000</t>
  </si>
  <si>
    <t>A00400004000</t>
  </si>
  <si>
    <t>ATSE KEVIN RODOLPH 05-86-50-05-38/07-69-70-20-40</t>
  </si>
  <si>
    <t>8477</t>
  </si>
  <si>
    <t>M400PRT2025032U00089</t>
  </si>
  <si>
    <t>M40001852</t>
  </si>
  <si>
    <t>A00400001852</t>
  </si>
  <si>
    <t>AKPENA AMA YOLANDE 07-48-15-79-83</t>
  </si>
  <si>
    <t>84821</t>
  </si>
  <si>
    <t>M400PRT2025032U00091</t>
  </si>
  <si>
    <t>M40003794</t>
  </si>
  <si>
    <t>A00400003794</t>
  </si>
  <si>
    <t>ATTO YA CELINE 05-44-42-49-00/07-03-47-38-14</t>
  </si>
  <si>
    <t>8487</t>
  </si>
  <si>
    <t>M400PRT2025032U00092</t>
  </si>
  <si>
    <t>M40000880</t>
  </si>
  <si>
    <t>A00400000880</t>
  </si>
  <si>
    <t>ANASSE JEANNE CHRYSOSTE 01-40-37-83-37</t>
  </si>
  <si>
    <t>8491</t>
  </si>
  <si>
    <t>M400PRT2025032U00093</t>
  </si>
  <si>
    <t>M40004273</t>
  </si>
  <si>
    <t>A00400004273</t>
  </si>
  <si>
    <t>AKO AKISSI NADEGE 01-42-28-88-29</t>
  </si>
  <si>
    <t>8490</t>
  </si>
  <si>
    <t>M400PRT2025032U00094</t>
  </si>
  <si>
    <t>M40010371</t>
  </si>
  <si>
    <t>SANA BOUKARY 0779678910</t>
  </si>
  <si>
    <t>8495</t>
  </si>
  <si>
    <t>M400PRT2025032U00095</t>
  </si>
  <si>
    <t>M40003786</t>
  </si>
  <si>
    <t>A00400003786</t>
  </si>
  <si>
    <t>N`GOU VALERIE 05-05-99-01-00</t>
  </si>
  <si>
    <t>84851</t>
  </si>
  <si>
    <t>M400PRT2025032U00096</t>
  </si>
  <si>
    <t>M40004287</t>
  </si>
  <si>
    <t>A00400004287</t>
  </si>
  <si>
    <t>AKICHI CHO EPOUSE ACHY 07-07-72-71-19</t>
  </si>
  <si>
    <t>84911</t>
  </si>
  <si>
    <t>M400PRT2025032U00097</t>
  </si>
  <si>
    <t>M40004254</t>
  </si>
  <si>
    <t>A00400004254</t>
  </si>
  <si>
    <t>DABIRA HAGNILE ALIX 07-47-25-82-82/01-42-47-88-57</t>
  </si>
  <si>
    <t>8489</t>
  </si>
  <si>
    <t>M400PRT2025032U00100</t>
  </si>
  <si>
    <t>M40010008</t>
  </si>
  <si>
    <t>A00400010008</t>
  </si>
  <si>
    <t>DIBY KOUSSO FELICITE 01-73-29-69-68</t>
  </si>
  <si>
    <t>8513</t>
  </si>
  <si>
    <t>M400PRT2025032U00101</t>
  </si>
  <si>
    <t>M40002385</t>
  </si>
  <si>
    <t>A00400002385</t>
  </si>
  <si>
    <t>DIBY APO ERNESTINE 07-08-34-45-43</t>
  </si>
  <si>
    <t>8507</t>
  </si>
  <si>
    <t>M400PRT2025032U00102</t>
  </si>
  <si>
    <t>M40003140</t>
  </si>
  <si>
    <t>A00400003140</t>
  </si>
  <si>
    <t>HIEN ADJA 07-87-68-25-48/07-57-19-74-72</t>
  </si>
  <si>
    <t>84831</t>
  </si>
  <si>
    <t>M400PRT2025032U00106</t>
  </si>
  <si>
    <t>M40010011</t>
  </si>
  <si>
    <t>BEUGRE TCHIPE MARIE 0768930276</t>
  </si>
  <si>
    <t>M400DMD202511U00154</t>
  </si>
  <si>
    <t>M400PRT2025032U00108</t>
  </si>
  <si>
    <t>M40010494</t>
  </si>
  <si>
    <t>BORAUD N'TAHO NINON BARBARA llEME JUMELLE 0768200003</t>
  </si>
  <si>
    <t>M400DMD2025</t>
  </si>
  <si>
    <t>M400PRT2025032U00109</t>
  </si>
  <si>
    <t>M40003805</t>
  </si>
  <si>
    <t>A00400003805</t>
  </si>
  <si>
    <t>ASSALE ANNE MARIE 0709742823</t>
  </si>
  <si>
    <t>M400DMD2025114U00155</t>
  </si>
  <si>
    <t>M400PRT2025033U00057</t>
  </si>
  <si>
    <t>M40010138</t>
  </si>
  <si>
    <t>SYLLA VAZOUMANA 0759242007</t>
  </si>
  <si>
    <t>8440</t>
  </si>
  <si>
    <t>M400PRT2025033U00058</t>
  </si>
  <si>
    <t>M40004282</t>
  </si>
  <si>
    <t>A00400004282</t>
  </si>
  <si>
    <t>ACHI ANIN CLEMENCE CLAUDIA 01-43-11-35-94</t>
  </si>
  <si>
    <t>8438</t>
  </si>
  <si>
    <t>M400PRT2025033U00059</t>
  </si>
  <si>
    <t>M40010064</t>
  </si>
  <si>
    <t>ADOBI ORO MARGUERITTE 0708529028</t>
  </si>
  <si>
    <t>8431</t>
  </si>
  <si>
    <t>M400PRT2025033U00060</t>
  </si>
  <si>
    <t>M40004045</t>
  </si>
  <si>
    <t>A00400004045</t>
  </si>
  <si>
    <t>AKOUSSI DETCHIO ANATOLIE FRAN 01-72-55-23-75/01-73-29-74-78</t>
  </si>
  <si>
    <t>8425</t>
  </si>
  <si>
    <t>M400PRT2025033U00061</t>
  </si>
  <si>
    <t>M40002829</t>
  </si>
  <si>
    <t>A00400002829</t>
  </si>
  <si>
    <t xml:space="preserve">ABOUA EPOUSE ASSAMOI ACHI ELISABETH  </t>
  </si>
  <si>
    <t>84191</t>
  </si>
  <si>
    <t>M400PRT2025033U00062</t>
  </si>
  <si>
    <t>M40010269</t>
  </si>
  <si>
    <t>OWOCHI ASSOMA FLORIS 0706626247</t>
  </si>
  <si>
    <t>8443</t>
  </si>
  <si>
    <t>M400PRT2025033U00064</t>
  </si>
  <si>
    <t>M40004408</t>
  </si>
  <si>
    <t>A00400004408</t>
  </si>
  <si>
    <t>BOKA ESTELLE DAVILA 07-98-54-93-06</t>
  </si>
  <si>
    <t>8430</t>
  </si>
  <si>
    <t>M400PRT2025033U00065</t>
  </si>
  <si>
    <t>M40010319</t>
  </si>
  <si>
    <t>N'CHO JEAN JEROME 0152382211</t>
  </si>
  <si>
    <t>8450</t>
  </si>
  <si>
    <t>M400PRT2025033U00066</t>
  </si>
  <si>
    <t>M40003987</t>
  </si>
  <si>
    <t>A00400003987</t>
  </si>
  <si>
    <t>BONI OFFO ERIC 05-06-80-29-43</t>
  </si>
  <si>
    <t>84371</t>
  </si>
  <si>
    <t>M400PRT2025033U00069</t>
  </si>
  <si>
    <t>M40010315</t>
  </si>
  <si>
    <t>KONE ABOUBACAR SIRIKI 0788541781</t>
  </si>
  <si>
    <t>8494</t>
  </si>
  <si>
    <t>M400PRT2025033U00070</t>
  </si>
  <si>
    <t>M40010429</t>
  </si>
  <si>
    <t>BAKAYOKO ALIMATOU EPIPHANIE 0707473347</t>
  </si>
  <si>
    <t>8516</t>
  </si>
  <si>
    <t>M400PRT2025033U00073</t>
  </si>
  <si>
    <t>M40002639</t>
  </si>
  <si>
    <t>A00400002639</t>
  </si>
  <si>
    <t>N`DAH AKISSI BLANDINE 07-09-01-76-79</t>
  </si>
  <si>
    <t>8508</t>
  </si>
  <si>
    <t>M400PRT2025033U00075</t>
  </si>
  <si>
    <t>M40010027</t>
  </si>
  <si>
    <t>KISSI AFFOUE ROMAINE 0788252799</t>
  </si>
  <si>
    <t>8514</t>
  </si>
  <si>
    <t>M400PRT2025033U00078</t>
  </si>
  <si>
    <t>M40004060</t>
  </si>
  <si>
    <t>A00400004060</t>
  </si>
  <si>
    <t>ANON NANA SYLVIE 07-78-41-77-47/05-45-22-42-43</t>
  </si>
  <si>
    <t>M400DM2025114U00130</t>
  </si>
  <si>
    <t>M400PRT2025033U00079</t>
  </si>
  <si>
    <t>M40002490</t>
  </si>
  <si>
    <t>A00400002490</t>
  </si>
  <si>
    <t xml:space="preserve">N`DRI KALO MARIE CHANTALE  </t>
  </si>
  <si>
    <t>M400DMD2025114U00133</t>
  </si>
  <si>
    <t>M400PRT2025033U00080</t>
  </si>
  <si>
    <t>M40004365</t>
  </si>
  <si>
    <t>A00400004365</t>
  </si>
  <si>
    <t>GONH NONHE YVETTE EPOUSE N`KPOMAN 0777777348</t>
  </si>
  <si>
    <t>M400DM2025114U00142</t>
  </si>
  <si>
    <t>M400PRT2025033U00081</t>
  </si>
  <si>
    <t>M40002717</t>
  </si>
  <si>
    <t>A00400002717</t>
  </si>
  <si>
    <t xml:space="preserve">DAGO WAWORO  </t>
  </si>
  <si>
    <t>M400DMD2025114U00150</t>
  </si>
  <si>
    <t>M400PRT2025033U00082</t>
  </si>
  <si>
    <t>M40004262</t>
  </si>
  <si>
    <t>A00400004262</t>
  </si>
  <si>
    <t>TRAORE ISSA 07-08-69-38-47</t>
  </si>
  <si>
    <t>M400DMD2025114U00159</t>
  </si>
  <si>
    <t>M400PRT2025033U00083</t>
  </si>
  <si>
    <t>M40010495</t>
  </si>
  <si>
    <t>DJEGBA ADJOUA MARIE EPOUSE KEDI 0779135179</t>
  </si>
  <si>
    <t>M400DMD202511U00151</t>
  </si>
  <si>
    <t>M400PRT2025035U00030</t>
  </si>
  <si>
    <t>M40004348</t>
  </si>
  <si>
    <t>A00400004348</t>
  </si>
  <si>
    <t>OUATTARA NALIGUEBEYA 07-06-52-24-46/05-64-44-15-96</t>
  </si>
  <si>
    <t>8429</t>
  </si>
  <si>
    <t>M400PRT2025035U00032</t>
  </si>
  <si>
    <t>M40004180</t>
  </si>
  <si>
    <t>A00400004180</t>
  </si>
  <si>
    <t>ARRAH ESTEL JOSIANE 07-07-99-68-71/05-86-73-48-77</t>
  </si>
  <si>
    <t>8437</t>
  </si>
  <si>
    <t>M400PRT2025035U00033</t>
  </si>
  <si>
    <t>M40010313</t>
  </si>
  <si>
    <t>BOUADOU SEKA VINCENT 0749932589</t>
  </si>
  <si>
    <t>8447</t>
  </si>
  <si>
    <t>M400PRT2025035U00034</t>
  </si>
  <si>
    <t>M40004366</t>
  </si>
  <si>
    <t>A00400004366</t>
  </si>
  <si>
    <t>ARRAH NOEL DIMITRI 01-51-41-44-95/07-77-69-42-88</t>
  </si>
  <si>
    <t>8439</t>
  </si>
  <si>
    <t>M400PRT2025035U00036</t>
  </si>
  <si>
    <t>M40002390</t>
  </si>
  <si>
    <t>A00400002390</t>
  </si>
  <si>
    <t>BEDE KOKO 07-59-52-64-01</t>
  </si>
  <si>
    <t>84181</t>
  </si>
  <si>
    <t>M400PRT2025035U00037</t>
  </si>
  <si>
    <t>M40004322</t>
  </si>
  <si>
    <t>A00400004322</t>
  </si>
  <si>
    <t>BETTA BABO JEAN CLAUDE 07-08-40-51-11</t>
  </si>
  <si>
    <t>84381</t>
  </si>
  <si>
    <t>M400PRT2025035U00038</t>
  </si>
  <si>
    <t>M40010317</t>
  </si>
  <si>
    <t>DJAHA SADE GILDAS MALBRANK 0507690013</t>
  </si>
  <si>
    <t>8449</t>
  </si>
  <si>
    <t>M400PRT2025035U00039</t>
  </si>
  <si>
    <t>M40010145</t>
  </si>
  <si>
    <t>BITTI KOUADIO ROMARIC 0758184243</t>
  </si>
  <si>
    <t>8441</t>
  </si>
  <si>
    <t>M400PRT2025035U00040</t>
  </si>
  <si>
    <t>M40010291</t>
  </si>
  <si>
    <t>LOKOSSUE ADJOUA JAPHET LINA EPSE ADOPO 0749184824</t>
  </si>
  <si>
    <t>8435</t>
  </si>
  <si>
    <t>M400PRT2025035U00041</t>
  </si>
  <si>
    <t>M40010321</t>
  </si>
  <si>
    <t>DIANE BRAKISSA 0506283036</t>
  </si>
  <si>
    <t>8436</t>
  </si>
  <si>
    <t>M400PRT2025035U00042</t>
  </si>
  <si>
    <t>M40004367</t>
  </si>
  <si>
    <t>A00400004367</t>
  </si>
  <si>
    <t>N`CHO EVICHI CLEMENTINE 01-71-49-04-86/07-59-80-91-66</t>
  </si>
  <si>
    <t>8463</t>
  </si>
  <si>
    <t>M400PRT2025035U00043</t>
  </si>
  <si>
    <t>M40010006</t>
  </si>
  <si>
    <t>A00400010006</t>
  </si>
  <si>
    <t>KORA NANDO FELIX 05-85-87-60-65/07-03-81-33-76</t>
  </si>
  <si>
    <t>8480</t>
  </si>
  <si>
    <t>M400PRT2025035U00044</t>
  </si>
  <si>
    <t>M40004368</t>
  </si>
  <si>
    <t>A00400004368</t>
  </si>
  <si>
    <t>BOKA IHO PAULINE EPSE N`GOU 01-02-30-32-12/07-47-05-59-51</t>
  </si>
  <si>
    <t>8464</t>
  </si>
  <si>
    <t>M400PRT2025035U00045</t>
  </si>
  <si>
    <t>M40010369</t>
  </si>
  <si>
    <t>KOUAKOU AKOUA TIWA YVETTE MODESTINE 0545087495</t>
  </si>
  <si>
    <t>8474</t>
  </si>
  <si>
    <t>M400PRT2025035U00046</t>
  </si>
  <si>
    <t>M40010135</t>
  </si>
  <si>
    <t>KANON AKE ODETTE EPOUSE ZADI 0708164022</t>
  </si>
  <si>
    <t>8466</t>
  </si>
  <si>
    <t>M400PRT2025035U00047</t>
  </si>
  <si>
    <t>M40003558</t>
  </si>
  <si>
    <t>A00400003558</t>
  </si>
  <si>
    <t>HOULAGBELE AGROUBY 07-09-23-22-12</t>
  </si>
  <si>
    <t>8460</t>
  </si>
  <si>
    <t>M400PRT2025035U00053</t>
  </si>
  <si>
    <t>M40003997</t>
  </si>
  <si>
    <t>A00400003997</t>
  </si>
  <si>
    <t>ADOU KOUAME ABIB FERNANDEZ 05-55-29-54-20/07-08-98-91-61</t>
  </si>
  <si>
    <t>8479</t>
  </si>
  <si>
    <t>M400PRT2025035U00055</t>
  </si>
  <si>
    <t>M40010420</t>
  </si>
  <si>
    <t>BOKA KOTCHI DIDIER 0102813340</t>
  </si>
  <si>
    <t>8496</t>
  </si>
  <si>
    <t>M400PRT2025035U00056</t>
  </si>
  <si>
    <t>M40002816</t>
  </si>
  <si>
    <t>A00400002816</t>
  </si>
  <si>
    <t>TRAORE ISSA 07-47-77-25-88</t>
  </si>
  <si>
    <t>8524</t>
  </si>
  <si>
    <t>M400PRT2025035U00060</t>
  </si>
  <si>
    <t>M40010432</t>
  </si>
  <si>
    <t>KOUASSI KOFFI AIME 0708922832</t>
  </si>
  <si>
    <t>85270</t>
  </si>
  <si>
    <t>M400PRT2025035U00061</t>
  </si>
  <si>
    <t>M40003504</t>
  </si>
  <si>
    <t>A00400003504</t>
  </si>
  <si>
    <t>GNAHOUA AUDREY DJOUKOU NEULLY 07-58-42-28-50</t>
  </si>
  <si>
    <t>84841</t>
  </si>
  <si>
    <t>M400PRT2025035U00062</t>
  </si>
  <si>
    <t>M40010337</t>
  </si>
  <si>
    <t>YAO MEL SALIMATA 0709236590</t>
  </si>
  <si>
    <t>44850</t>
  </si>
  <si>
    <t>M400PRT2025035U00063</t>
  </si>
  <si>
    <t>M40010444</t>
  </si>
  <si>
    <t>ANOMA KOCHI 0596758287</t>
  </si>
  <si>
    <t>8518</t>
  </si>
  <si>
    <t>M400PRT2025035U00075</t>
  </si>
  <si>
    <t>M40010354</t>
  </si>
  <si>
    <t>AWA PORGO 0747367649</t>
  </si>
  <si>
    <t>M400DMD2025114U00086</t>
  </si>
  <si>
    <t>M400PRT2025035U00076</t>
  </si>
  <si>
    <t>M40004227</t>
  </si>
  <si>
    <t>A00400004227</t>
  </si>
  <si>
    <t>KAMA ANE ALIDA LYDIE 05-46-60-59-75/01-60-27-79-40</t>
  </si>
  <si>
    <t>M400DMD2025114U00126</t>
  </si>
  <si>
    <t>M400PRT2025035U00078</t>
  </si>
  <si>
    <t>M40010473</t>
  </si>
  <si>
    <t>AFFOUMANI SIALLOU MARIE-JOSEE 0140404605</t>
  </si>
  <si>
    <t>M400DMD2025034U00080</t>
  </si>
  <si>
    <t>M400PRT2025035U00079</t>
  </si>
  <si>
    <t>M40003913</t>
  </si>
  <si>
    <t>A00400003913</t>
  </si>
  <si>
    <t>N`GUESSAN N`GORAN ELIANE 07-08-34-39-60</t>
  </si>
  <si>
    <t>M400DMD2025034U00083</t>
  </si>
  <si>
    <t>M400PRT2025035U00080</t>
  </si>
  <si>
    <t>M40010484</t>
  </si>
  <si>
    <t>TIENE NACHAMI 0544385068</t>
  </si>
  <si>
    <t>M400DMD2025034U00082</t>
  </si>
  <si>
    <t>M400PRT2025035U00081</t>
  </si>
  <si>
    <t>M40010496</t>
  </si>
  <si>
    <t>LEKPO VALERIE 0747776622</t>
  </si>
  <si>
    <t>M400DMD2025114U00160</t>
  </si>
  <si>
    <t>M400PRT2025035U00082</t>
  </si>
  <si>
    <t>M40004425</t>
  </si>
  <si>
    <t>A00400004425</t>
  </si>
  <si>
    <t>OUMAROU JAMILOU 01-40-13-53-75</t>
  </si>
  <si>
    <t>M400DMD2025034U00086</t>
  </si>
  <si>
    <t>M400PRT2025035U00083</t>
  </si>
  <si>
    <t>M40010016</t>
  </si>
  <si>
    <t>BEUGRE ROLO VIVIANE 0102073005</t>
  </si>
  <si>
    <t>M400DMD2025114U00149</t>
  </si>
  <si>
    <t>M400PRT2025035U00085</t>
  </si>
  <si>
    <t>M40003915</t>
  </si>
  <si>
    <t>A00400003915</t>
  </si>
  <si>
    <t>N`CHO ADJOA JEANNINE 05-65-20-88-38</t>
  </si>
  <si>
    <t>M400DMD202511U00095</t>
  </si>
  <si>
    <t>M400PRT2025035U00086</t>
  </si>
  <si>
    <t>M40010440</t>
  </si>
  <si>
    <t>BAMBARA MARGUERITE 0748177102</t>
  </si>
  <si>
    <t>M400DMD202503U00084</t>
  </si>
  <si>
    <t>M400PRT2025035U00087</t>
  </si>
  <si>
    <t>M40010480</t>
  </si>
  <si>
    <t>ANOH ENIN MARIE CHANTAL 2250103710763</t>
  </si>
  <si>
    <t>M400DMD2025114U00158</t>
  </si>
  <si>
    <t>M400PRT2025050U00005</t>
  </si>
  <si>
    <t>M40001142</t>
  </si>
  <si>
    <t>A00400001142</t>
  </si>
  <si>
    <t>BOZON KEASSEMON JOSIANE 07-08-32-35-23</t>
  </si>
  <si>
    <t>8416*</t>
  </si>
  <si>
    <t>M400PRT2025050U00006</t>
  </si>
  <si>
    <t>M40010298</t>
  </si>
  <si>
    <t>DOUMBIA TENIN 0759404909</t>
  </si>
  <si>
    <t>8467</t>
  </si>
  <si>
    <t>M400PRT2025050U00007</t>
  </si>
  <si>
    <t>M40002156</t>
  </si>
  <si>
    <t>A00400002156</t>
  </si>
  <si>
    <t>SACHOU EPIE JUSTINE 47-46-40-91</t>
  </si>
  <si>
    <t>8452.</t>
  </si>
  <si>
    <t>M400PRT2025050U00008</t>
  </si>
  <si>
    <t>M40010346</t>
  </si>
  <si>
    <t>N' TAMON NDRIN GEORGETTE EPOUSE KOFFI 0707146686</t>
  </si>
  <si>
    <t>8475</t>
  </si>
  <si>
    <t>M400PRT2025050U00009</t>
  </si>
  <si>
    <t>M40010462</t>
  </si>
  <si>
    <t>ANEOU ROSE 0719593503</t>
  </si>
  <si>
    <t>8521</t>
  </si>
  <si>
    <t>M400PRT2025050U00010</t>
  </si>
  <si>
    <t>M40010434</t>
  </si>
  <si>
    <t>GBAHOU EULODIE 0546240709</t>
  </si>
  <si>
    <t>8517</t>
  </si>
  <si>
    <t>M400PRT2025050U00011</t>
  </si>
  <si>
    <t>M40010454</t>
  </si>
  <si>
    <t>IPOU ADJOUA MONIQUE 0757623151</t>
  </si>
  <si>
    <t>8519</t>
  </si>
  <si>
    <t>M400PRT2025050U00015</t>
  </si>
  <si>
    <t>M40010453</t>
  </si>
  <si>
    <t>ALLICO CARINE ELIANE 0747285141</t>
  </si>
  <si>
    <t>10453</t>
  </si>
  <si>
    <t>M400PRT2025050U00016</t>
  </si>
  <si>
    <t>M40001793</t>
  </si>
  <si>
    <t>A00400001793</t>
  </si>
  <si>
    <t>KOFFI ODJO FELICITE 07-48-43-06-27</t>
  </si>
  <si>
    <t>8502</t>
  </si>
  <si>
    <t>M400PRT2025050U00017</t>
  </si>
  <si>
    <t>M40001947</t>
  </si>
  <si>
    <t>A00400001947</t>
  </si>
  <si>
    <t>ORSOT AHOUYA EPSE OWOCHI 08-02-59-81</t>
  </si>
  <si>
    <t>8503</t>
  </si>
  <si>
    <t>M400PRT2025050U00018</t>
  </si>
  <si>
    <t>M40010356</t>
  </si>
  <si>
    <t>KONTA OUMAR 0504032100</t>
  </si>
  <si>
    <t>8526</t>
  </si>
  <si>
    <t>M400PRT2025050U00023</t>
  </si>
  <si>
    <t>M40004129</t>
  </si>
  <si>
    <t>A00400004129</t>
  </si>
  <si>
    <t xml:space="preserve">AKA ZAHIRE CHARLOTTE EPSE EHOUMAN  </t>
  </si>
  <si>
    <t>M400 DMD2025114U00135</t>
  </si>
  <si>
    <t>M400PRT2025050U00024</t>
  </si>
  <si>
    <t>M40001913</t>
  </si>
  <si>
    <t>A00400001913</t>
  </si>
  <si>
    <t>BADOU ROSTANDE DE LA ROSE 07-08-52-83-15</t>
  </si>
  <si>
    <t>M400DMD2025114U00136</t>
  </si>
  <si>
    <t>M400PRT2025050U00025</t>
  </si>
  <si>
    <t>M40002292</t>
  </si>
  <si>
    <t>A00400002292</t>
  </si>
  <si>
    <t>BANAON KANNON FALIMATA 07-59-70-96-57</t>
  </si>
  <si>
    <t>M400 DMD2025114U00134</t>
  </si>
  <si>
    <t>M400PRT2026032U00001</t>
  </si>
  <si>
    <t>M40003712</t>
  </si>
  <si>
    <t>A00400003712</t>
  </si>
  <si>
    <t>ANE AGNES AMONDJI 07-79-05-02-35/05-05-46-09-40</t>
  </si>
  <si>
    <t>400DMD2026114U00002</t>
  </si>
  <si>
    <t>M400PRT2026032U00002</t>
  </si>
  <si>
    <t>M40010477</t>
  </si>
  <si>
    <t>BICABA YAWA 0757129577</t>
  </si>
  <si>
    <t>M400DMD2026034U00001</t>
  </si>
  <si>
    <t>M400PRT2026032U00003</t>
  </si>
  <si>
    <t>M40001742</t>
  </si>
  <si>
    <t>A00400001742</t>
  </si>
  <si>
    <t>DJANGO EPSE AMANE NEE DJANGO ABI DOROTHEE 07-07-43-35-74</t>
  </si>
  <si>
    <t>M400DMD2026114U00001</t>
  </si>
  <si>
    <t>M400PRT2026032U00004</t>
  </si>
  <si>
    <t>M40003324</t>
  </si>
  <si>
    <t>A00400003324</t>
  </si>
  <si>
    <t>BAMBA FATOUMATA 44-27-47-41</t>
  </si>
  <si>
    <t>M400DMD2026034U00004</t>
  </si>
  <si>
    <t>M400PRT2026032U00005</t>
  </si>
  <si>
    <t>M40003334</t>
  </si>
  <si>
    <t>A00400003334</t>
  </si>
  <si>
    <t>OUATTRA KARIDJA 05-04-15-96-80/05-44-27-47-41</t>
  </si>
  <si>
    <t>M400DMD2026034U00002</t>
  </si>
  <si>
    <t>M400PRT2026035U00001</t>
  </si>
  <si>
    <t>M40001775</t>
  </si>
  <si>
    <t>A00400001775</t>
  </si>
  <si>
    <t>ADINDAOUGBA RAKIYATOU 07-07-09-27-95</t>
  </si>
  <si>
    <t>M400DMD2026114U00003</t>
  </si>
  <si>
    <t>M400PRT2026035U00002</t>
  </si>
  <si>
    <t>M40004277</t>
  </si>
  <si>
    <t>A00400004277</t>
  </si>
  <si>
    <t>FATOLOU ARCHANGELE DERECK ROZOUL 07-48-02-73-02</t>
  </si>
  <si>
    <t>M400DMD2026114U00005</t>
  </si>
  <si>
    <t>M400PRT2026035U00003</t>
  </si>
  <si>
    <t>M40000852</t>
  </si>
  <si>
    <t>A00400000852</t>
  </si>
  <si>
    <t>HOUNDODE HORTENSE MARCELINE SEZAN 07-09-08-22-31</t>
  </si>
  <si>
    <t>M400DMD202614U00004</t>
  </si>
  <si>
    <t>M500PRT2025069U00015</t>
  </si>
  <si>
    <t>M50001712</t>
  </si>
  <si>
    <t>A00500001712</t>
  </si>
  <si>
    <t>TIEMELE AHIA ANNE MARIE THERESE 0544707796</t>
  </si>
  <si>
    <t>M500DMD2025097U00363</t>
  </si>
  <si>
    <t>M500PRT2025069U00017</t>
  </si>
  <si>
    <t>M50002298</t>
  </si>
  <si>
    <t>A00500002298</t>
  </si>
  <si>
    <t>EMILIENNE HAMOUE TEHE 07-57-13-14-56/05-04-11-71-21</t>
  </si>
  <si>
    <t>M500DMD2025097U00377</t>
  </si>
  <si>
    <t>M500PRT2025069U00018</t>
  </si>
  <si>
    <t>M50004619</t>
  </si>
  <si>
    <t>KOUADIO OKPO MARIE MADELEINE 0707458968</t>
  </si>
  <si>
    <t>M500DMD2025097U00360</t>
  </si>
  <si>
    <t>M500PRT2025069U00019</t>
  </si>
  <si>
    <t>M50004330</t>
  </si>
  <si>
    <t>ULLAYE HERVE CHRISTIAN 0799435530</t>
  </si>
  <si>
    <t>M500DMD2025097U00373</t>
  </si>
  <si>
    <t>M500PRT2025069U00020</t>
  </si>
  <si>
    <t>M50003973</t>
  </si>
  <si>
    <t>A00500003973</t>
  </si>
  <si>
    <t>KANAZOE FATOUMATA 0584405451</t>
  </si>
  <si>
    <t>M500DMD2025097U00365</t>
  </si>
  <si>
    <t>M500PRT2025069U00021</t>
  </si>
  <si>
    <t>M50004630</t>
  </si>
  <si>
    <t>YAO AKISSI PELAGIE 0778056254</t>
  </si>
  <si>
    <t>M500DMD2025097U00382</t>
  </si>
  <si>
    <t>M500PRT2025069U00030</t>
  </si>
  <si>
    <t>M50003895</t>
  </si>
  <si>
    <t>A00500003895</t>
  </si>
  <si>
    <t>SIE PODA 05-05-64-85-66/07-59-26-31-07</t>
  </si>
  <si>
    <t>M500DMD2025097U00384</t>
  </si>
  <si>
    <t>M500PRT2025069U00031</t>
  </si>
  <si>
    <t>M50003137</t>
  </si>
  <si>
    <t>A00500003137</t>
  </si>
  <si>
    <t>SAWADOGO SALIMATA 0142816148</t>
  </si>
  <si>
    <t>M500DMD2025097U00395</t>
  </si>
  <si>
    <t>M500PRT2025069U00032</t>
  </si>
  <si>
    <t>M50003934</t>
  </si>
  <si>
    <t>A00500003934</t>
  </si>
  <si>
    <t>TEHO GUELLÉ FALONE CHIMENE 05-06-65-46-74</t>
  </si>
  <si>
    <t>M500DMD2025097U00383</t>
  </si>
  <si>
    <t>M500PRT2025069U00034</t>
  </si>
  <si>
    <t>M50000526</t>
  </si>
  <si>
    <t>A00500000526</t>
  </si>
  <si>
    <t>KOUASSI DOH AYA 07-57-03-17-20</t>
  </si>
  <si>
    <t>M500DMD2025097U00347</t>
  </si>
  <si>
    <t>M500PRT2025069U00035</t>
  </si>
  <si>
    <t>M50002474</t>
  </si>
  <si>
    <t>A00500002474</t>
  </si>
  <si>
    <t>BOSSON BROU MARTHE 0758050912</t>
  </si>
  <si>
    <t>M500DMD2025097U00350</t>
  </si>
  <si>
    <t>M500PRT2025069U00037</t>
  </si>
  <si>
    <t>M50004122</t>
  </si>
  <si>
    <t>A00500004122</t>
  </si>
  <si>
    <t>KOUAKOU AMOIN N`GO MARIE-JOSEE 01-50-67-87-32</t>
  </si>
  <si>
    <t>M500DMD2025097U00404</t>
  </si>
  <si>
    <t>M500PRT2025069U00038</t>
  </si>
  <si>
    <t>M50002946</t>
  </si>
  <si>
    <t>A00500002946</t>
  </si>
  <si>
    <t>KOFFI AMENAN 07-58-03-24-70/01-40-55-85-04</t>
  </si>
  <si>
    <t>M500DMD2025097U00405</t>
  </si>
  <si>
    <t>M500PRT2025069U00039</t>
  </si>
  <si>
    <t>M50003999</t>
  </si>
  <si>
    <t>A00500003999</t>
  </si>
  <si>
    <t>KOUADIO AMOIN JUDITH 0757295002</t>
  </si>
  <si>
    <t>M500DMD2025097U00453</t>
  </si>
  <si>
    <t>M500PRT2025070U00066</t>
  </si>
  <si>
    <t>M50001839</t>
  </si>
  <si>
    <t>A00500001839</t>
  </si>
  <si>
    <t>LEGRE MARIE LAURENCE 0742507256</t>
  </si>
  <si>
    <t>M500DMD2025097U00272</t>
  </si>
  <si>
    <t>M500PRT2025070U00067</t>
  </si>
  <si>
    <t>M50004109</t>
  </si>
  <si>
    <t>A00500004109</t>
  </si>
  <si>
    <t>AYEBIE SALOME ADJOUA FLORENTINE EPSE AYEBIE 0748281091</t>
  </si>
  <si>
    <t>M500DMD2025097U00275</t>
  </si>
  <si>
    <t>M500PRT2025070U00068</t>
  </si>
  <si>
    <t>M50003030</t>
  </si>
  <si>
    <t>A00500003030</t>
  </si>
  <si>
    <t>AMANI N`GUESSAN APPO JOSEPHINE EPS KOFFI 0143054455</t>
  </si>
  <si>
    <t>M500DMD2025097U00285</t>
  </si>
  <si>
    <t>M500PRT2025070U00069</t>
  </si>
  <si>
    <t>M50004475</t>
  </si>
  <si>
    <t>BAZOUEU MINKAPEU 0747529290</t>
  </si>
  <si>
    <t>M500DMD2025097U00278</t>
  </si>
  <si>
    <t>M500PRT2025070U00070</t>
  </si>
  <si>
    <t>M50004495</t>
  </si>
  <si>
    <t>EHOUMAN BENIE FLORA CLEMENCE 0546658813 0546658813</t>
  </si>
  <si>
    <t>M500DMD2025097U00263</t>
  </si>
  <si>
    <t>M500PRT2025070U00072</t>
  </si>
  <si>
    <t>M50004498</t>
  </si>
  <si>
    <t>KOUAKOU KOFFI NOEL 0758588908</t>
  </si>
  <si>
    <t>M500DMD2025097U00288</t>
  </si>
  <si>
    <t>M500PRT2025070U00073</t>
  </si>
  <si>
    <t>M50004460</t>
  </si>
  <si>
    <t>BLE CHELA 0718342694</t>
  </si>
  <si>
    <t>M500DMD2025097U00258</t>
  </si>
  <si>
    <t>M500PRT2025070U00074</t>
  </si>
  <si>
    <t>M50004485</t>
  </si>
  <si>
    <t>KASSIO ZIBO NINA SABINE Epse GUEI 0789461695</t>
  </si>
  <si>
    <t>M500DMD2025097U00264</t>
  </si>
  <si>
    <t>M500PRT2025070U00075</t>
  </si>
  <si>
    <t>M50004490</t>
  </si>
  <si>
    <t>FLAN DEBOHI ALIX 0788545402</t>
  </si>
  <si>
    <t>M500DMD2025097U00261</t>
  </si>
  <si>
    <t>M500PRT2025071U00039</t>
  </si>
  <si>
    <t>M50003843</t>
  </si>
  <si>
    <t>A00500003843</t>
  </si>
  <si>
    <t>BAILLY ERIC ARNAUD ZOMANDRE 07-08-10-31-73/01-02-35-46-35</t>
  </si>
  <si>
    <t>M500DMD2025097U00281</t>
  </si>
  <si>
    <t>M500PRT2025071U00040</t>
  </si>
  <si>
    <t>M50004277</t>
  </si>
  <si>
    <t>OBOUMOU FREDERIC 0778180156</t>
  </si>
  <si>
    <t>M500DMD2025097U00292</t>
  </si>
  <si>
    <t>M500PRT2025071U00041</t>
  </si>
  <si>
    <t>M50002829</t>
  </si>
  <si>
    <t>A00500002829</t>
  </si>
  <si>
    <t>DEM ABIBATA 0153575299</t>
  </si>
  <si>
    <t>M500DMD2025097U00284</t>
  </si>
  <si>
    <t>M500PRT2025071U00042</t>
  </si>
  <si>
    <t>M50004482</t>
  </si>
  <si>
    <t>ASSA AMIAN AIME 0101441106</t>
  </si>
  <si>
    <t>M500DMD2025097U00268</t>
  </si>
  <si>
    <t>M500PRT2025071U00072</t>
  </si>
  <si>
    <t>M50001059</t>
  </si>
  <si>
    <t>A00500001059</t>
  </si>
  <si>
    <t>LORIGNON EDWIGE NATHALIE EPSE ZAHUI 01-03-31-12-60/07-49-99-64-50</t>
  </si>
  <si>
    <t>M500DMD2025097U00379</t>
  </si>
  <si>
    <t>M500PRT2025071U00077</t>
  </si>
  <si>
    <t>M50002851</t>
  </si>
  <si>
    <t>A00500002851</t>
  </si>
  <si>
    <t>DOAMBA AWA 07-59-36-55-48</t>
  </si>
  <si>
    <t>M500DMD2025097U00397</t>
  </si>
  <si>
    <t>M500PRT2025071U00078</t>
  </si>
  <si>
    <t>M50004660</t>
  </si>
  <si>
    <t>CISSE MINATA 0556575965</t>
  </si>
  <si>
    <t>M500DMD2025097U00421</t>
  </si>
  <si>
    <t>M500PRT2025071U00080</t>
  </si>
  <si>
    <t>M50001066</t>
  </si>
  <si>
    <t>A00500001066</t>
  </si>
  <si>
    <t>HODONOU FLORENCE 01-03-38-37-63/07-07-12-60-67</t>
  </si>
  <si>
    <t>M500DMD2025097U00400</t>
  </si>
  <si>
    <t>M500PRT2025071U00081</t>
  </si>
  <si>
    <t>M50003167</t>
  </si>
  <si>
    <t>A00500003167</t>
  </si>
  <si>
    <t>KOUAME AKISSI  DELPHINE 59-10-85-62</t>
  </si>
  <si>
    <t>M500DMD2025097U00398</t>
  </si>
  <si>
    <t>M500PRT2025071U00082</t>
  </si>
  <si>
    <t>M50003877</t>
  </si>
  <si>
    <t>A00500003877</t>
  </si>
  <si>
    <t>FANTA KROUMA 0709224510</t>
  </si>
  <si>
    <t>M500DMD2025097U00406</t>
  </si>
  <si>
    <t>M500PRT2025071U00083</t>
  </si>
  <si>
    <t>M50003413</t>
  </si>
  <si>
    <t>A00500003413</t>
  </si>
  <si>
    <t>KOIFFO AMA MARIE NOELLE 0747185465</t>
  </si>
  <si>
    <t>M500DMD2025097U00474</t>
  </si>
  <si>
    <t>M500PRT2025071U00084</t>
  </si>
  <si>
    <t>M50003266</t>
  </si>
  <si>
    <t>A00500003266</t>
  </si>
  <si>
    <t>MELES YOU MARIE PAULLE 07-57-40-31-93/05-66-68-90-30</t>
  </si>
  <si>
    <t>M500DMD2025097U00428</t>
  </si>
  <si>
    <t>M500PRT2025071U00085</t>
  </si>
  <si>
    <t>M50003386</t>
  </si>
  <si>
    <t>A00500003386</t>
  </si>
  <si>
    <t>KOKORA EYI VICTORINE 0759808643</t>
  </si>
  <si>
    <t>M500DMD2025097U00399</t>
  </si>
  <si>
    <t>M500PRT2025071U00086</t>
  </si>
  <si>
    <t>M50003005</t>
  </si>
  <si>
    <t>A00500003005</t>
  </si>
  <si>
    <t>DIABY NAMINATA 01-01-62-13-04</t>
  </si>
  <si>
    <t>M500DMD2025097U00468</t>
  </si>
  <si>
    <t>M500PRT2025072U00074</t>
  </si>
  <si>
    <t>M50003410</t>
  </si>
  <si>
    <t>A00500003410</t>
  </si>
  <si>
    <t>KOFFI AFFOUE ELISABETH 0506558729</t>
  </si>
  <si>
    <t>M500DMD2025097U00132</t>
  </si>
  <si>
    <t>M500PRT2025072U00174</t>
  </si>
  <si>
    <t>M50002172</t>
  </si>
  <si>
    <t>A00500002172</t>
  </si>
  <si>
    <t>KABORE POKO 01-40-44-74-63</t>
  </si>
  <si>
    <t>M500DMD2025097U00239</t>
  </si>
  <si>
    <t>M500PRT2025072U00179</t>
  </si>
  <si>
    <t>M50004496</t>
  </si>
  <si>
    <t>YA RAYMOND 0707104885</t>
  </si>
  <si>
    <t>M500DMD2025097U00260</t>
  </si>
  <si>
    <t>M500PRT2025072U00180</t>
  </si>
  <si>
    <t>M50003875</t>
  </si>
  <si>
    <t>A00500003875</t>
  </si>
  <si>
    <t>GUEU TIA JOELLE 0787917267</t>
  </si>
  <si>
    <t>M500DMD2025097U00262</t>
  </si>
  <si>
    <t>M500PRT2025072U00181</t>
  </si>
  <si>
    <t>M50004493</t>
  </si>
  <si>
    <t>KADJO M'BRA 0709842797</t>
  </si>
  <si>
    <t>M500DMD2025097U00259</t>
  </si>
  <si>
    <t>M500PRT2025072U00184</t>
  </si>
  <si>
    <t>M50003540</t>
  </si>
  <si>
    <t>A00500003540</t>
  </si>
  <si>
    <t>YAO AFFO HONORINE 07-08-61-59-07/07-79-43-12-67</t>
  </si>
  <si>
    <t>M500DMD2025097U00290</t>
  </si>
  <si>
    <t>M500PRT2025072U00185</t>
  </si>
  <si>
    <t>M50004379</t>
  </si>
  <si>
    <t>DO LOU TANAN GLAWDYS 0707881984</t>
  </si>
  <si>
    <t>M500DMD2025097U00286</t>
  </si>
  <si>
    <t>M500PRT2025072U00187</t>
  </si>
  <si>
    <t>M50004492</t>
  </si>
  <si>
    <t>ABDOU MAHAMADOU MARFA 0788129812</t>
  </si>
  <si>
    <t>M500DMD2025097U00273</t>
  </si>
  <si>
    <t>M500PRT2025072U00188</t>
  </si>
  <si>
    <t>M50001263</t>
  </si>
  <si>
    <t>A00500001263</t>
  </si>
  <si>
    <t>KOUAME AHOU FLAURE 07-47-15-18-37/05-06-56-40-72</t>
  </si>
  <si>
    <t>M500DMD2025097U00269</t>
  </si>
  <si>
    <t>M500PRT2025072U00190</t>
  </si>
  <si>
    <t>M50004478</t>
  </si>
  <si>
    <t>SOW MAMADOU MOUCTAR 0718224524</t>
  </si>
  <si>
    <t>M500DMD2025097U00355</t>
  </si>
  <si>
    <t>M500PRT2025072U00191</t>
  </si>
  <si>
    <t>M50003102</t>
  </si>
  <si>
    <t>A00500003102</t>
  </si>
  <si>
    <t>N GUESSAN AMOIN EDWIGE EPSE KONAN 49-46-84-12</t>
  </si>
  <si>
    <t>M500DMD2025097U00367</t>
  </si>
  <si>
    <t>M500PRT2025072U00192</t>
  </si>
  <si>
    <t>M50004065</t>
  </si>
  <si>
    <t>A00500004065</t>
  </si>
  <si>
    <t>OUSSOUNA IDE 07-77-25-65-49</t>
  </si>
  <si>
    <t>M500DMD2025097U00387</t>
  </si>
  <si>
    <t>M500PRT2025072U00193</t>
  </si>
  <si>
    <t>M50002145</t>
  </si>
  <si>
    <t>A00500002145</t>
  </si>
  <si>
    <t>YENE DROH MAURICIENNE 0788333339</t>
  </si>
  <si>
    <t>M500DMD2025097U00362</t>
  </si>
  <si>
    <t>M500PRT2025072U00194</t>
  </si>
  <si>
    <t>M50004639</t>
  </si>
  <si>
    <t>KAMAGATE IDRISSA 0152435108</t>
  </si>
  <si>
    <t>M500DMD2025097U00391</t>
  </si>
  <si>
    <t>M500PRT2025072U00196</t>
  </si>
  <si>
    <t>M50002571</t>
  </si>
  <si>
    <t>A00500002571</t>
  </si>
  <si>
    <t>KAMAGATE MAMOUNA 59-32-15-25</t>
  </si>
  <si>
    <t>M500DMD2025097U00393</t>
  </si>
  <si>
    <t>M500PRT2025072U00197</t>
  </si>
  <si>
    <t>M50000694</t>
  </si>
  <si>
    <t>A00500000694</t>
  </si>
  <si>
    <t>KATIENE ELISABETH SORO EPSE KONE 01-03-82-04-48/07-08-33-18-86</t>
  </si>
  <si>
    <t>M500DMD2025097U00344</t>
  </si>
  <si>
    <t>M500PRT2025072U00198</t>
  </si>
  <si>
    <t>M50004527</t>
  </si>
  <si>
    <t>KOUAME KADJO VINCENT 0747985372</t>
  </si>
  <si>
    <t>M500DMD2025097U00351</t>
  </si>
  <si>
    <t>M500PRT2025072U00200</t>
  </si>
  <si>
    <t>M50003155</t>
  </si>
  <si>
    <t>A00500003155</t>
  </si>
  <si>
    <t>AMONKOU ANIN INES LARISSA 48-91-82-27</t>
  </si>
  <si>
    <t>M500DMD2025097U00410</t>
  </si>
  <si>
    <t>M500PRT2025072U00201</t>
  </si>
  <si>
    <t>M50004128</t>
  </si>
  <si>
    <t>A00500004128</t>
  </si>
  <si>
    <t>SAWADOGO FATI 0777790991</t>
  </si>
  <si>
    <t>M500DMD2025097U00412</t>
  </si>
  <si>
    <t>M500PRT2025072U00202</t>
  </si>
  <si>
    <t>M50003731</t>
  </si>
  <si>
    <t>A00500003731</t>
  </si>
  <si>
    <t>NIENTA KALIFA 07-57-44-03-34</t>
  </si>
  <si>
    <t>M500DMD2025097U00416</t>
  </si>
  <si>
    <t>M500PRT2025072U00203</t>
  </si>
  <si>
    <t>M50003650</t>
  </si>
  <si>
    <t>A00500003650</t>
  </si>
  <si>
    <t>BOUSSOU NGUESSAN  MADELEINE 0141556090</t>
  </si>
  <si>
    <t>M500DMD2025097U00407</t>
  </si>
  <si>
    <t>M500PRT2025072U00206</t>
  </si>
  <si>
    <t>M50000553</t>
  </si>
  <si>
    <t>A00500000553</t>
  </si>
  <si>
    <t>OUEDRAOGO LIZIATA 01-01-12-73-32</t>
  </si>
  <si>
    <t>M500DMD2025097U00403</t>
  </si>
  <si>
    <t>M500PRT2025072U00207</t>
  </si>
  <si>
    <t>M50004286</t>
  </si>
  <si>
    <t>YOUAN BI TRA AMBROISE 0102443312</t>
  </si>
  <si>
    <t>M500DMD2025097U00413</t>
  </si>
  <si>
    <t>M500PRT2025072U00208</t>
  </si>
  <si>
    <t>M50004057</t>
  </si>
  <si>
    <t>A00500004057</t>
  </si>
  <si>
    <t>N`GORAN AMOIN CAROLLE 0708194937</t>
  </si>
  <si>
    <t>M500DMD2025097U00419</t>
  </si>
  <si>
    <t>M500PRT2025072U00210</t>
  </si>
  <si>
    <t>M50004517</t>
  </si>
  <si>
    <t>ZONGO GOUWIND POULOUMOLE CHARLOTTE 0143673162</t>
  </si>
  <si>
    <t>M500DMD2025097U00415</t>
  </si>
  <si>
    <t>M500PRT2025072U00211</t>
  </si>
  <si>
    <t>M50004658</t>
  </si>
  <si>
    <t>KOFFI AYA VALERIE 0758235424</t>
  </si>
  <si>
    <t>M500DMD2025097U00408</t>
  </si>
  <si>
    <t>M500PRT2025072U00212</t>
  </si>
  <si>
    <t>M50004350</t>
  </si>
  <si>
    <t>KOFFI AFFOUE ADELLE JOSSELINE Epse DOUAI 0777648886</t>
  </si>
  <si>
    <t>M500DMD2025097U00422</t>
  </si>
  <si>
    <t>M500PRT2025072U00214</t>
  </si>
  <si>
    <t>M50004665</t>
  </si>
  <si>
    <t>TRAORE THIERRY-GEOFFROY 0140130076</t>
  </si>
  <si>
    <t>M500DMD2025097U00446</t>
  </si>
  <si>
    <t>M500PRT2025072U00215</t>
  </si>
  <si>
    <t>M50004675</t>
  </si>
  <si>
    <t>DAOUDA KOFFI ISMAEL BERENGER 0748382777</t>
  </si>
  <si>
    <t>M500DMD2025097U00434</t>
  </si>
  <si>
    <t>M500PRT2025072U00216</t>
  </si>
  <si>
    <t>M50004693</t>
  </si>
  <si>
    <t>BIRBA ALI 0748929969</t>
  </si>
  <si>
    <t>M500DMD2025097U00444</t>
  </si>
  <si>
    <t>M500PRT2025072U00217</t>
  </si>
  <si>
    <t>M50004644</t>
  </si>
  <si>
    <t>SIHE GUY MARTHIAL SYMPHORIEN 0768643381</t>
  </si>
  <si>
    <t>M500DMD2025097U00447</t>
  </si>
  <si>
    <t>M500PRT2025072U00221</t>
  </si>
  <si>
    <t>M50004669</t>
  </si>
  <si>
    <t>YAO KOFFI PAUL 0777191670</t>
  </si>
  <si>
    <t>M500DMD2025097U00445</t>
  </si>
  <si>
    <t>M500PRT2025072U00222</t>
  </si>
  <si>
    <t>M50003746</t>
  </si>
  <si>
    <t>A00500003746</t>
  </si>
  <si>
    <t>TANOH AKA RICHARD 0102608270</t>
  </si>
  <si>
    <t>M500DMD2025097U00429</t>
  </si>
  <si>
    <t>M500PRT2025072U00224</t>
  </si>
  <si>
    <t>M50001338</t>
  </si>
  <si>
    <t>A00500001338</t>
  </si>
  <si>
    <t>DIABATE MANFEREMAN 0555797385</t>
  </si>
  <si>
    <t>M500DMD2025097U00465</t>
  </si>
  <si>
    <t>M500PRT2025072U00225</t>
  </si>
  <si>
    <t>M50003857</t>
  </si>
  <si>
    <t>A00500003857</t>
  </si>
  <si>
    <t>NANA ZENABOU 07-47-51-47-11/05-94-60-95-73</t>
  </si>
  <si>
    <t>M500DMD2025097U00432</t>
  </si>
  <si>
    <t>M500PRT2025072U00226</t>
  </si>
  <si>
    <t>M50000217</t>
  </si>
  <si>
    <t>A00500000217</t>
  </si>
  <si>
    <t>GUIKAHUIE HONNON FRANÇOISE 0575831259</t>
  </si>
  <si>
    <t>M500DMD2025097U00462</t>
  </si>
  <si>
    <t>M500PRT2025072U00227</t>
  </si>
  <si>
    <t>M50000309</t>
  </si>
  <si>
    <t>A00500000309</t>
  </si>
  <si>
    <t>KOUADIO N`GUESSAN AMELIE 0708019060</t>
  </si>
  <si>
    <t>M500DMD2025097U00470</t>
  </si>
  <si>
    <t>M500PRT2025072U00229</t>
  </si>
  <si>
    <t>M50004474</t>
  </si>
  <si>
    <t>KOUASSI AYA YVETTE 0143676010</t>
  </si>
  <si>
    <t>M500DMD2025097U00424</t>
  </si>
  <si>
    <t>M500PRT2025072U00230</t>
  </si>
  <si>
    <t>M50004698</t>
  </si>
  <si>
    <t>OUEDRAOGO AWA 0704318267</t>
  </si>
  <si>
    <t>M500DMD2025097U00441</t>
  </si>
  <si>
    <t>M500PRT2025072U00231</t>
  </si>
  <si>
    <t>M50003841</t>
  </si>
  <si>
    <t>A00500003841</t>
  </si>
  <si>
    <t>YEBOUA YAAH ANTOINETTE  EPSE  FIENI 0707353360</t>
  </si>
  <si>
    <t>M500DMD2025097U00467</t>
  </si>
  <si>
    <t>M500PRT2025072U00232</t>
  </si>
  <si>
    <t>M50000406</t>
  </si>
  <si>
    <t>A00500000406</t>
  </si>
  <si>
    <t>KOUAME ADJOUA CONSTANTINE 0707558908</t>
  </si>
  <si>
    <t>M500DMD2025097U00473</t>
  </si>
  <si>
    <t>M500PRT2025072U00233</t>
  </si>
  <si>
    <t>M50000617</t>
  </si>
  <si>
    <t>A00500000617</t>
  </si>
  <si>
    <t>KOUAME AFFOUE ANIQUE 0757913802</t>
  </si>
  <si>
    <t>M500DMD2025097U00435</t>
  </si>
  <si>
    <t>M500PRT2025072U00234</t>
  </si>
  <si>
    <t>M50002701</t>
  </si>
  <si>
    <t>A00500002701</t>
  </si>
  <si>
    <t>KOUAKOU INES ELEONOR 07-48-15-06-58</t>
  </si>
  <si>
    <t>M500DMD2025097U00426</t>
  </si>
  <si>
    <t>M500PRT2025072U00235</t>
  </si>
  <si>
    <t>M50002252</t>
  </si>
  <si>
    <t>A00500002252</t>
  </si>
  <si>
    <t>DJIDA ZIHON   HORTENSE EPSE LOHOURE 0778872711</t>
  </si>
  <si>
    <t>M500DMD2025097U00463</t>
  </si>
  <si>
    <t>M500PRT2025072U00237</t>
  </si>
  <si>
    <t>M50003897</t>
  </si>
  <si>
    <t>A00500003897</t>
  </si>
  <si>
    <t>KOFFI ADJOUA ESTELLE SUZANNE-REBECCA 0153639809</t>
  </si>
  <si>
    <t>M500DMD2025097U00460</t>
  </si>
  <si>
    <t>M500PRT2025072U00238</t>
  </si>
  <si>
    <t>M50003674</t>
  </si>
  <si>
    <t>A00500003674</t>
  </si>
  <si>
    <t>GNAKO MARIE-PAULE 0749939738</t>
  </si>
  <si>
    <t>M500DMD2025097U00433</t>
  </si>
  <si>
    <t>M500PRT2025072U00239</t>
  </si>
  <si>
    <t>M50003626</t>
  </si>
  <si>
    <t>A00500003626</t>
  </si>
  <si>
    <t>BOUDA BOWIMMH MELANIE 0544938931</t>
  </si>
  <si>
    <t>M500DMD2025097U00455</t>
  </si>
  <si>
    <t>M500PRT2025072U00240</t>
  </si>
  <si>
    <t>M50004046</t>
  </si>
  <si>
    <t>A00500004046</t>
  </si>
  <si>
    <t>AHOUE AMOIN  ESTELLE 0749816520</t>
  </si>
  <si>
    <t>M500DMD2025097U00459</t>
  </si>
  <si>
    <t>M500PRT2025072U00241</t>
  </si>
  <si>
    <t>M50002880</t>
  </si>
  <si>
    <t>A00500002880</t>
  </si>
  <si>
    <t>KOUASSI AMENAN VALERIE 77-59-69-98</t>
  </si>
  <si>
    <t>M500DMD2025097U00457</t>
  </si>
  <si>
    <t>M500PRT2025072U00242</t>
  </si>
  <si>
    <t>M50004145</t>
  </si>
  <si>
    <t>KONAN YAO NARCISSE 0507009373</t>
  </si>
  <si>
    <t>M500DMD2025097U00449</t>
  </si>
  <si>
    <t>M500PRT2025072U00243</t>
  </si>
  <si>
    <t>M50001588</t>
  </si>
  <si>
    <t>A00500001588</t>
  </si>
  <si>
    <t>DIOMANDE SIAGBE 07-08-68-96-70/01-01-89-05</t>
  </si>
  <si>
    <t>M500DMD2025097U00420</t>
  </si>
  <si>
    <t>M500PRT2025120U00015</t>
  </si>
  <si>
    <t>M50002606</t>
  </si>
  <si>
    <t>A00500002606</t>
  </si>
  <si>
    <t>ZEBIE LOU NAN MARIETTE 01-40-99-35-28/01-03-06-76-45</t>
  </si>
  <si>
    <t>M500DMD2025097U00361</t>
  </si>
  <si>
    <t>M500PRT2025120U00016</t>
  </si>
  <si>
    <t>M50004218</t>
  </si>
  <si>
    <t>SYLLA MAMALON 0556572086</t>
  </si>
  <si>
    <t>M500DMD2025097U00359</t>
  </si>
  <si>
    <t>M500PRT2025120U00017</t>
  </si>
  <si>
    <t>M50002677</t>
  </si>
  <si>
    <t>A00500002677</t>
  </si>
  <si>
    <t>KONAN AMOIN PHILIPPINE 78-35-95-16</t>
  </si>
  <si>
    <t>M500DMD2025097U00376</t>
  </si>
  <si>
    <t>M500PRT2025120U00018</t>
  </si>
  <si>
    <t>M50004535</t>
  </si>
  <si>
    <t>LEDJEHE VALERIE 0709873455</t>
  </si>
  <si>
    <t>M500DMD2025097U00356</t>
  </si>
  <si>
    <t>M500PRT2025120U00019</t>
  </si>
  <si>
    <t>M50004532</t>
  </si>
  <si>
    <t>GNANGOUAN KROU MARCEL 0799431835</t>
  </si>
  <si>
    <t>M500DMD2025097U00364</t>
  </si>
  <si>
    <t>M500PRT2025120U00020</t>
  </si>
  <si>
    <t>M50001439</t>
  </si>
  <si>
    <t>A00500001439</t>
  </si>
  <si>
    <t>CAMARA KARIDJATOU 05-45-38-12-91/07-68-29-03-19</t>
  </si>
  <si>
    <t>M500DMD2025097U00348</t>
  </si>
  <si>
    <t>M500PRT2025120U00021</t>
  </si>
  <si>
    <t>M50004450</t>
  </si>
  <si>
    <t>LOUKOU AMOIN BRIGITTE 0758114133</t>
  </si>
  <si>
    <t>M500DMD2025097U00354</t>
  </si>
  <si>
    <t>M500PRT2025120U00022</t>
  </si>
  <si>
    <t>M50004623</t>
  </si>
  <si>
    <t>YAO N'GORAN BINTOU 0767634479</t>
  </si>
  <si>
    <t>M500DMD2025097U00345</t>
  </si>
  <si>
    <t>M500PRT2025120U00023</t>
  </si>
  <si>
    <t>M50003753</t>
  </si>
  <si>
    <t>A00500003753</t>
  </si>
  <si>
    <t>SAVADOGO MARIAME 07-87-87-64-44/07-87-87-55-37</t>
  </si>
  <si>
    <t>M500DMD2025097U00353</t>
  </si>
  <si>
    <t>M500PRT2025120U00024</t>
  </si>
  <si>
    <t>M50003624</t>
  </si>
  <si>
    <t>A00500003624</t>
  </si>
  <si>
    <t>BROU AMOIN  FRANCOISE 0171653623</t>
  </si>
  <si>
    <t>M500DMD2025097U00343</t>
  </si>
  <si>
    <t>M500PRT2025120U00025</t>
  </si>
  <si>
    <t>M50004533</t>
  </si>
  <si>
    <t>YEBOUE AFFOUE FRANCOISE ANGE FABIOLLA 0713720431</t>
  </si>
  <si>
    <t>M500DMD2025097U00375</t>
  </si>
  <si>
    <t>M500PRT2025120U00027</t>
  </si>
  <si>
    <t>M500DMD2025097U00357</t>
  </si>
  <si>
    <t>M500PRT2025120U00029</t>
  </si>
  <si>
    <t>M50003611</t>
  </si>
  <si>
    <t>A00500003611</t>
  </si>
  <si>
    <t>KOUADIO AMENAN BEATRICE 0749711331</t>
  </si>
  <si>
    <t>M500DMD2025097U00381</t>
  </si>
  <si>
    <t>M500PRT2025120U00030</t>
  </si>
  <si>
    <t>M50004633</t>
  </si>
  <si>
    <t>KOFFI YAO 0788191233</t>
  </si>
  <si>
    <t>M500DMD2025097U00394</t>
  </si>
  <si>
    <t>M500PRT2025120U00032</t>
  </si>
  <si>
    <t>M50003684</t>
  </si>
  <si>
    <t>A00500003684</t>
  </si>
  <si>
    <t>YAO BERNADETTE 0759418685</t>
  </si>
  <si>
    <t>M500DMD2025097U00472</t>
  </si>
  <si>
    <t>M500PRT2025120U00033</t>
  </si>
  <si>
    <t>M50003481</t>
  </si>
  <si>
    <t>A00500003481</t>
  </si>
  <si>
    <t>CISSE SANDIA 0708921650</t>
  </si>
  <si>
    <t>M500DMD2025097U00458</t>
  </si>
  <si>
    <t>M500PRT2025120U00034</t>
  </si>
  <si>
    <t>M50003771</t>
  </si>
  <si>
    <t>A00500003771</t>
  </si>
  <si>
    <t>YAO AMENAN  MARIE CHARLENE 0554334815</t>
  </si>
  <si>
    <t>M500DMD2025097U00431</t>
  </si>
  <si>
    <t>M500PRT2025120U00035</t>
  </si>
  <si>
    <t>M50004024</t>
  </si>
  <si>
    <t>A00500004024</t>
  </si>
  <si>
    <t>YEMIAN N KADOUAPEU PRUDENCE 07-59-88-73-06/05-54-28-31-58</t>
  </si>
  <si>
    <t>M500DMD2025097U00471</t>
  </si>
  <si>
    <t>M500PRT2025120U00036</t>
  </si>
  <si>
    <t>M50003450</t>
  </si>
  <si>
    <t>A00500003450</t>
  </si>
  <si>
    <t>N GUESSAN AFFOUE MIREILLE  FLORA 07-48-52-37-03</t>
  </si>
  <si>
    <t>M500DMD2025097U00427</t>
  </si>
  <si>
    <t>M500PRT2025120U00038</t>
  </si>
  <si>
    <t>M50002067</t>
  </si>
  <si>
    <t>A00500002067</t>
  </si>
  <si>
    <t>OHOUE NOGBOU LUCIE EMMA 01-43-55-05-82</t>
  </si>
  <si>
    <t>M500DMD2025097U00437</t>
  </si>
  <si>
    <t>M500PRT2025120U00039</t>
  </si>
  <si>
    <t>M50004097</t>
  </si>
  <si>
    <t>A00500004097</t>
  </si>
  <si>
    <t>KOUASSI AKISSI PELAGIE 0545020245</t>
  </si>
  <si>
    <t>M500DMD2025097U00430</t>
  </si>
  <si>
    <t>M500PRT2025120U00040</t>
  </si>
  <si>
    <t>M50003133</t>
  </si>
  <si>
    <t>A00500003133</t>
  </si>
  <si>
    <t>DIBY AKISSI LAURETTE 07-09-34-34-07</t>
  </si>
  <si>
    <t>M500DMD2025097U00440</t>
  </si>
  <si>
    <t>M500PRT2025120U00041</t>
  </si>
  <si>
    <t>M50002056</t>
  </si>
  <si>
    <t>A00500002056</t>
  </si>
  <si>
    <t>DAZOA SOUAHON  CAROLINE 0758988994</t>
  </si>
  <si>
    <t>M500DMD2025097U00454</t>
  </si>
  <si>
    <t>M500PRT2025120U00042</t>
  </si>
  <si>
    <t>M50002967</t>
  </si>
  <si>
    <t>A00500002967</t>
  </si>
  <si>
    <t>ZOUNGRANA HAOUA 05-56-01-84-55</t>
  </si>
  <si>
    <t>M500DMD2025097U00456</t>
  </si>
  <si>
    <t>M500PRT2025120U00044</t>
  </si>
  <si>
    <t>M50003132</t>
  </si>
  <si>
    <t>A00500003132</t>
  </si>
  <si>
    <t>OBODJI CYNTHIA ROLANDE 0748720648</t>
  </si>
  <si>
    <t>M500DMD2025097U00466</t>
  </si>
  <si>
    <t>M500PRT2025120U00045</t>
  </si>
  <si>
    <t>M50001977</t>
  </si>
  <si>
    <t>A00500001977</t>
  </si>
  <si>
    <t>HINNOUKOU C HORTENSE 44-91-66-90</t>
  </si>
  <si>
    <t>M500DMD2025097U00464</t>
  </si>
  <si>
    <t>M500PRT2025120U00046</t>
  </si>
  <si>
    <t>M50002850</t>
  </si>
  <si>
    <t>A00500002850</t>
  </si>
  <si>
    <t>YAO MOHOULA ESTELLE LILIANE 49-40-70-17</t>
  </si>
  <si>
    <t>M500DMD2025097U00438</t>
  </si>
  <si>
    <t>M500PRT2025120U00047</t>
  </si>
  <si>
    <t>M50004311</t>
  </si>
  <si>
    <t>KOFFI YABA JACQUELINE 0505485813</t>
  </si>
  <si>
    <t>M500DMD2025097U00425</t>
  </si>
  <si>
    <t>M500PRT2026071U00001</t>
  </si>
  <si>
    <t>M50001497</t>
  </si>
  <si>
    <t>A00500001497</t>
  </si>
  <si>
    <t>OGUNSOLA SIDIKATU 0506158245</t>
  </si>
  <si>
    <t>M500DMD2026097U00001</t>
  </si>
  <si>
    <t>M500PRT2026071U00002</t>
  </si>
  <si>
    <t>M50004798</t>
  </si>
  <si>
    <t>BLE BOUAZO BENJAMIN 0576084164</t>
  </si>
  <si>
    <t>M500DMD2026097U00030</t>
  </si>
  <si>
    <t>M500PRT2026071U00003</t>
  </si>
  <si>
    <t>M50003697</t>
  </si>
  <si>
    <t>A00500003697</t>
  </si>
  <si>
    <t>FOFANA LASSINA 0101811688</t>
  </si>
  <si>
    <t>M500DMD2026097U00028</t>
  </si>
  <si>
    <t>M500PRT2026071U00004</t>
  </si>
  <si>
    <t>M50003138</t>
  </si>
  <si>
    <t>A00500003138</t>
  </si>
  <si>
    <t>DJANABOU SOUMAHORO 05-54-76-61-64/01-53-23-56-49</t>
  </si>
  <si>
    <t>M500DMD2026097U00009</t>
  </si>
  <si>
    <t>M500PRT2026071U00006</t>
  </si>
  <si>
    <t>M50004553</t>
  </si>
  <si>
    <t>BALDE SOULEYMANE 0708334037</t>
  </si>
  <si>
    <t>M500DMD2026097U00026</t>
  </si>
  <si>
    <t>M500PRT2026071U00007</t>
  </si>
  <si>
    <t>M50003845</t>
  </si>
  <si>
    <t>A00500003845</t>
  </si>
  <si>
    <t>AHOUE N'DRIN   PASCALINE 0704524546</t>
  </si>
  <si>
    <t>M500DMD2026097U00007</t>
  </si>
  <si>
    <t>M500PRT2026071U00008</t>
  </si>
  <si>
    <t>M50004333</t>
  </si>
  <si>
    <t>ADON CHIA FELICITE 0749879456</t>
  </si>
  <si>
    <t>M500DMD2026097U00021</t>
  </si>
  <si>
    <t>M500PRT2026071U00009</t>
  </si>
  <si>
    <t>M50003879</t>
  </si>
  <si>
    <t>A00500003879</t>
  </si>
  <si>
    <t>SERY PELAGIE 07-08-63-32-22</t>
  </si>
  <si>
    <t>M500DMD2026097U00019</t>
  </si>
  <si>
    <t>M500PRT2026071U00010</t>
  </si>
  <si>
    <t>M50004356</t>
  </si>
  <si>
    <t>KOUAME AFFOUE NADIA 0767056226</t>
  </si>
  <si>
    <t>M500DMD2026097U00006</t>
  </si>
  <si>
    <t>M500PRT2026071U00011</t>
  </si>
  <si>
    <t>M50004694</t>
  </si>
  <si>
    <t>KOUISSEMON BAH THEODORE 0705564945</t>
  </si>
  <si>
    <t>M500DMD2026097U00025</t>
  </si>
  <si>
    <t>M500PRT2026071U00012</t>
  </si>
  <si>
    <t>M50004682</t>
  </si>
  <si>
    <t>ALLA KOUAKOU FLORENT 0505100353</t>
  </si>
  <si>
    <t>M500DMD2026097U00024</t>
  </si>
  <si>
    <t>M500PRT2026071U00013</t>
  </si>
  <si>
    <t>M50003407</t>
  </si>
  <si>
    <t>A00500003407</t>
  </si>
  <si>
    <t>OKA AKISSI 07-08-14-28-68/07-59-59-25-84</t>
  </si>
  <si>
    <t>M500DMD2026097U00018</t>
  </si>
  <si>
    <t>M500PRT2026071U00014</t>
  </si>
  <si>
    <t>M50004219</t>
  </si>
  <si>
    <t>GONEKALO BI DJANGONE JEAN-FRANCOIS 0777985858</t>
  </si>
  <si>
    <t>M500DMD2026097U00012</t>
  </si>
  <si>
    <t>M500PRT2026071U00015</t>
  </si>
  <si>
    <t>M50004040</t>
  </si>
  <si>
    <t>A00500004040</t>
  </si>
  <si>
    <t>KOUAME ETOUMOU KASSI ARNAUD-LUCIEN 07-08-21-16-16/01-02-75-27-23</t>
  </si>
  <si>
    <t>M500DMD2026097U00027</t>
  </si>
  <si>
    <t>M500PRT2026071U00016</t>
  </si>
  <si>
    <t>M50001957</t>
  </si>
  <si>
    <t>A00500001957</t>
  </si>
  <si>
    <t>NIAMIEN AKASSI CLAUDE EDWIGE 0707736008</t>
  </si>
  <si>
    <t>M500DMD2026097U00010</t>
  </si>
  <si>
    <t>M500PRT2026071U00017</t>
  </si>
  <si>
    <t>M50004701</t>
  </si>
  <si>
    <t>KOUAME AMOIN GENEVIEVE 0789480550</t>
  </si>
  <si>
    <t>M500DMD2026097U00022</t>
  </si>
  <si>
    <t>M500PRT2026071U00018</t>
  </si>
  <si>
    <t>M50004652</t>
  </si>
  <si>
    <t>AMANI AKISSI SIDONIE 0140273846</t>
  </si>
  <si>
    <t>M500DMD2026097U00004</t>
  </si>
  <si>
    <t>M500PRT2026071U00019</t>
  </si>
  <si>
    <t>M50004704</t>
  </si>
  <si>
    <t>GNANMIEN AYA MADELEINE 0506612412</t>
  </si>
  <si>
    <t>M500DMD2026097U00023</t>
  </si>
  <si>
    <t>M500PRT2026071U00020</t>
  </si>
  <si>
    <t>M50004685</t>
  </si>
  <si>
    <t>GBESSO DIBY JOSEPHINE 0758026146</t>
  </si>
  <si>
    <t>M500DMD2026097U00011</t>
  </si>
  <si>
    <t>M500PRT2026071U00021</t>
  </si>
  <si>
    <t>M50004688</t>
  </si>
  <si>
    <t>BAMBA MAKICHA 0142277814</t>
  </si>
  <si>
    <t>M500DMD2026097U00014</t>
  </si>
  <si>
    <t>M500PRT2026071U00022</t>
  </si>
  <si>
    <t>M50004910</t>
  </si>
  <si>
    <t>AMEGBO YAWA EPSE TOVIAKA 0557726822</t>
  </si>
  <si>
    <t>M500DMD2026097U00002</t>
  </si>
  <si>
    <t>M500PRT2026071U00023</t>
  </si>
  <si>
    <t>M50004686</t>
  </si>
  <si>
    <t>FOSSOU ABLY DIANE 0769469945</t>
  </si>
  <si>
    <t>M500DMD2026097U00016</t>
  </si>
  <si>
    <t>M500PRT2026120U00001</t>
  </si>
  <si>
    <t>M50000480</t>
  </si>
  <si>
    <t>A00500000480</t>
  </si>
  <si>
    <t xml:space="preserve">DIARRA FATOUMATA Epse ABDOULAYE  </t>
  </si>
  <si>
    <t>M500DMD2026097U00017</t>
  </si>
  <si>
    <t>M510PRT2025059U00049</t>
  </si>
  <si>
    <t>M51002332</t>
  </si>
  <si>
    <t>KONE MASSENI 0746482493</t>
  </si>
  <si>
    <t>11927</t>
  </si>
  <si>
    <t>M510PRT2025059U00052</t>
  </si>
  <si>
    <t>M51002024</t>
  </si>
  <si>
    <t>TAPE ALEX ORTHINIEL DESIRE 0749797026</t>
  </si>
  <si>
    <t>11913</t>
  </si>
  <si>
    <t>M510PRT2025060U00111</t>
  </si>
  <si>
    <t>M51000975</t>
  </si>
  <si>
    <t>A00800000975</t>
  </si>
  <si>
    <t>SEA GNONSIEKAN ADELAIDE 0789266014</t>
  </si>
  <si>
    <t>MCT 11984</t>
  </si>
  <si>
    <t>M510PRT2025060U00152</t>
  </si>
  <si>
    <t>M51002031</t>
  </si>
  <si>
    <t>KONE ASSATA 0506364023</t>
  </si>
  <si>
    <t>M510DMD2025094U00180</t>
  </si>
  <si>
    <t>M510PRT2025060U00153</t>
  </si>
  <si>
    <t>M51000897</t>
  </si>
  <si>
    <t>A00800000897</t>
  </si>
  <si>
    <t>OUEDRAOGO ODETTE  05-05-42-41-94/07-57-12-82-14</t>
  </si>
  <si>
    <t>M510DMD2025094U00179</t>
  </si>
  <si>
    <t>M510PRT2025060U00154</t>
  </si>
  <si>
    <t>M51000416</t>
  </si>
  <si>
    <t>A00800000416</t>
  </si>
  <si>
    <t>LOUKOU AFFOUE JUSTINE 05-06-31-83-34/07-57-43-24-77</t>
  </si>
  <si>
    <t>M510DMD2025094U00178</t>
  </si>
  <si>
    <t>M510PRT2025060U00155</t>
  </si>
  <si>
    <t>M51000996</t>
  </si>
  <si>
    <t>A00800000996</t>
  </si>
  <si>
    <t>AWOUDOR AKOSSIWA 01-51-67-23-81/01-42-40-40-45</t>
  </si>
  <si>
    <t>M510DMD2025094U00190</t>
  </si>
  <si>
    <t>M510PRT2025060U00156</t>
  </si>
  <si>
    <t>M51001162</t>
  </si>
  <si>
    <t>A00800001162</t>
  </si>
  <si>
    <t>DOUMBIA MARIAM 05-44-17-77-85</t>
  </si>
  <si>
    <t>M510DMD2025094U00189</t>
  </si>
  <si>
    <t>M510PRT2025060U00157</t>
  </si>
  <si>
    <t>M51001290</t>
  </si>
  <si>
    <t>A00800001290</t>
  </si>
  <si>
    <t>SAYE BROU PASCALINE 07-13-56-97-22</t>
  </si>
  <si>
    <t>M510DMD2025094U00187</t>
  </si>
  <si>
    <t>M510PRT2025060U00158</t>
  </si>
  <si>
    <t>M51002407</t>
  </si>
  <si>
    <t>FOFANA NAMINATA EPSE HAIDARA 0545311890</t>
  </si>
  <si>
    <t>M510DMD2025094U00186</t>
  </si>
  <si>
    <t>M510PRT2025060U00159</t>
  </si>
  <si>
    <t>M51002408</t>
  </si>
  <si>
    <t>KONATE SEHIN MARIE 0506617550</t>
  </si>
  <si>
    <t>M510DMD2025094U00185</t>
  </si>
  <si>
    <t>M510PRT2025060U00160</t>
  </si>
  <si>
    <t>M51002472</t>
  </si>
  <si>
    <t>GNOKO ASSIBA MAGUI SARAH EPSE BEMAN 0779751236</t>
  </si>
  <si>
    <t>M510DMD2025094U00184</t>
  </si>
  <si>
    <t>M510PRT2025060U00161</t>
  </si>
  <si>
    <t>M51002475</t>
  </si>
  <si>
    <t>OUEDRAOGO FATIMATA 0708770886</t>
  </si>
  <si>
    <t>M510DMD2025094U00182</t>
  </si>
  <si>
    <t>M510PRT2025060U00162</t>
  </si>
  <si>
    <t>M51002527</t>
  </si>
  <si>
    <t>N'GUESSAN AKISSI COLETTE 0554376605</t>
  </si>
  <si>
    <t>M510DMD2025094U00181</t>
  </si>
  <si>
    <t>M510PRT2025060U00163</t>
  </si>
  <si>
    <t>M51002473</t>
  </si>
  <si>
    <t>DJAKO BOKOUE HUGUETTE 0503861660</t>
  </si>
  <si>
    <t>M510DMD2025094U00183</t>
  </si>
  <si>
    <t>M510PRT2025060U00166</t>
  </si>
  <si>
    <t>M51001806</t>
  </si>
  <si>
    <t>A00800001806</t>
  </si>
  <si>
    <t>TRA LOU GANAN NADEGE 0564010983</t>
  </si>
  <si>
    <t>M510DMD2025094U00193</t>
  </si>
  <si>
    <t>M510PRT2025060U00167</t>
  </si>
  <si>
    <t>M51001843</t>
  </si>
  <si>
    <t>A00800001843</t>
  </si>
  <si>
    <t>DIOP N DEYE FAMA 0747433579</t>
  </si>
  <si>
    <t>M510DMD2025094U00192</t>
  </si>
  <si>
    <t>M510PRT2025060U00168</t>
  </si>
  <si>
    <t>M51001774</t>
  </si>
  <si>
    <t>A00800001774</t>
  </si>
  <si>
    <t>AGOSSOU KOSSI DIEU-DONNE 0759168584</t>
  </si>
  <si>
    <t>M510DMD2025094U00196</t>
  </si>
  <si>
    <t>M510PRT2025060U00169</t>
  </si>
  <si>
    <t>M51002038</t>
  </si>
  <si>
    <t>N'DRI DJAMAN AIME 0709098906</t>
  </si>
  <si>
    <t>M510DMD2025094U00197</t>
  </si>
  <si>
    <t>M510PRT2025060U00177</t>
  </si>
  <si>
    <t>M51002062</t>
  </si>
  <si>
    <t>OULA MONDOUEHO SERAPHIN 0708966963</t>
  </si>
  <si>
    <t>M510DMD2025094U00198</t>
  </si>
  <si>
    <t>M510PRT2025060U00179</t>
  </si>
  <si>
    <t>M51001665</t>
  </si>
  <si>
    <t>A00800001665</t>
  </si>
  <si>
    <t>DJEDJE PHILIPPE CATHERINE EPSE N CHO 01-02-96-69-16</t>
  </si>
  <si>
    <t>M510DMD2025094U00195</t>
  </si>
  <si>
    <t>M510PRT2025060U00184</t>
  </si>
  <si>
    <t>M51001638</t>
  </si>
  <si>
    <t>A00800001638</t>
  </si>
  <si>
    <t>ME AMOIN BEATRICE 07-48-81-19-49</t>
  </si>
  <si>
    <t>M510DMD2025094U00259</t>
  </si>
  <si>
    <t>M510PRT2025060U00195</t>
  </si>
  <si>
    <t>M51002591</t>
  </si>
  <si>
    <t>DIABY DJENEBOU 0544088240</t>
  </si>
  <si>
    <t>M510DMD2025094U00262</t>
  </si>
  <si>
    <t>M510PRT2025061U00048</t>
  </si>
  <si>
    <t>M51002066</t>
  </si>
  <si>
    <t>GBATE LOUISE epouse KOULAI 0748691659</t>
  </si>
  <si>
    <t>11720</t>
  </si>
  <si>
    <t>M510PRT2025061U00057</t>
  </si>
  <si>
    <t>M51002273</t>
  </si>
  <si>
    <t>YAO ADJOUA LEONIE 0575680235</t>
  </si>
  <si>
    <t>Crédit Convention C2D3</t>
  </si>
  <si>
    <t>M510DMD2025094U00096</t>
  </si>
  <si>
    <t>M510PRT2025061U00074</t>
  </si>
  <si>
    <t>M51002562</t>
  </si>
  <si>
    <t>TIA TELLA ANGE PATRICIA 0556057646</t>
  </si>
  <si>
    <t>M510DMD2025094U00265</t>
  </si>
  <si>
    <t>M510PRT2025061U00083</t>
  </si>
  <si>
    <t>M51001749</t>
  </si>
  <si>
    <t>A00800001749</t>
  </si>
  <si>
    <t>KOUAME AKISSI JACQUELINE EPSE DIAHOU 0707956680</t>
  </si>
  <si>
    <t>M510DMD2025091U00290</t>
  </si>
  <si>
    <t>M510PRT2025061U00084</t>
  </si>
  <si>
    <t>M51002605</t>
  </si>
  <si>
    <t>DADIE YAWA RAISSA 0758938293</t>
  </si>
  <si>
    <t>M510DMD2025091U00286</t>
  </si>
  <si>
    <t>M510PRT2025061U00085</t>
  </si>
  <si>
    <t>M51002604</t>
  </si>
  <si>
    <t>BAMBA AMINATA 0701090191</t>
  </si>
  <si>
    <t>M510DMD2025091U00285</t>
  </si>
  <si>
    <t>M510PRT2025115U00019</t>
  </si>
  <si>
    <t>M51002265</t>
  </si>
  <si>
    <t>SIRIMA GNELE DJENEBA CHRISTELLE 0747617085</t>
  </si>
  <si>
    <t>M510DMD2025094U00080</t>
  </si>
  <si>
    <t>M510PRT2025115U00028</t>
  </si>
  <si>
    <t>M51002300</t>
  </si>
  <si>
    <t>KOUASSI KOUAKOU LAZARD 0748090721</t>
  </si>
  <si>
    <t>M510DMD2025094U00078</t>
  </si>
  <si>
    <t>M510PRT2025115U00144</t>
  </si>
  <si>
    <t>M51002205</t>
  </si>
  <si>
    <t>TOURE FATOUMA 0789677194</t>
  </si>
  <si>
    <t>M510DMD2025094U00077</t>
  </si>
  <si>
    <t>M510PRT2025115U00147</t>
  </si>
  <si>
    <t>M51002127</t>
  </si>
  <si>
    <t>LOUA LOUAN MARCELLE 0705636628</t>
  </si>
  <si>
    <t>569248</t>
  </si>
  <si>
    <t>M510PRT2025115U00195</t>
  </si>
  <si>
    <t>M51001845</t>
  </si>
  <si>
    <t>A00800001845</t>
  </si>
  <si>
    <t>ASSOUMAN YAO SYLVAIN 0749094993</t>
  </si>
  <si>
    <t>M510DMD2025094U00283</t>
  </si>
  <si>
    <t>M510PRT2025115U00201</t>
  </si>
  <si>
    <t>M51002589</t>
  </si>
  <si>
    <t>KPRI KOUAKOU FRANCK 0748026391</t>
  </si>
  <si>
    <t>M510DMD2025091U00280</t>
  </si>
  <si>
    <t>M510PRT2025115U00214</t>
  </si>
  <si>
    <t>M51001013</t>
  </si>
  <si>
    <t>A00800001013</t>
  </si>
  <si>
    <t>SOUMAORO KADIDIA 05-04-42-51-24</t>
  </si>
  <si>
    <t>M510DMD2025091U00295</t>
  </si>
  <si>
    <t>M510PRT2025115U00216</t>
  </si>
  <si>
    <t>M51001708</t>
  </si>
  <si>
    <t>A00800001708</t>
  </si>
  <si>
    <t>EHOUNOU ALLOU MONIQUE 05-06-57-70-11</t>
  </si>
  <si>
    <t>M510DMD2025091U00297</t>
  </si>
  <si>
    <t>M510PRT2025115U00222</t>
  </si>
  <si>
    <t>M51000718</t>
  </si>
  <si>
    <t>A00800000718</t>
  </si>
  <si>
    <t>KONAN ADJOUA EUGENIE 05-45-04-21-07/07-49-45-00-77</t>
  </si>
  <si>
    <t>M510DMD2025091U00294</t>
  </si>
  <si>
    <t>M510PRT2026121U00004</t>
  </si>
  <si>
    <t>M51002755</t>
  </si>
  <si>
    <t>KOUASSI AKISSI HELENE EPOUSE KONAN 0151069359</t>
  </si>
  <si>
    <t>M510DMD2026094U00021</t>
  </si>
  <si>
    <t>M600PRT2025027U00028</t>
  </si>
  <si>
    <t>M60003265</t>
  </si>
  <si>
    <t>A00600003265</t>
  </si>
  <si>
    <t>NEBIE AWOMBIE ROSALIE 07-48-22-02-38</t>
  </si>
  <si>
    <t>5784</t>
  </si>
  <si>
    <t>M600PRT2025027U00029</t>
  </si>
  <si>
    <t>M60000125</t>
  </si>
  <si>
    <t>A00600000125</t>
  </si>
  <si>
    <t>BOUA BAH THERESE EPOUSE KABLAN 07-07-95-88-27</t>
  </si>
  <si>
    <t>5782</t>
  </si>
  <si>
    <t>M600PRT2025027U00060</t>
  </si>
  <si>
    <t>M60004143</t>
  </si>
  <si>
    <t>A00600004143</t>
  </si>
  <si>
    <t>SEKA ANGE MAURILLE 01-60-93-43-86/01-40-64-69-22</t>
  </si>
  <si>
    <t>5881</t>
  </si>
  <si>
    <t>M600PRT2025027U00062</t>
  </si>
  <si>
    <t>M60004696</t>
  </si>
  <si>
    <t>ABIE FRANCK TONY EDGAR 0748468667</t>
  </si>
  <si>
    <t>5887</t>
  </si>
  <si>
    <t>M600PRT2025027U00063</t>
  </si>
  <si>
    <t>M60004695</t>
  </si>
  <si>
    <t>DIARRASSOUBA MARIAM 0555069358</t>
  </si>
  <si>
    <t>5884</t>
  </si>
  <si>
    <t>M600PRT2025027U00064</t>
  </si>
  <si>
    <t>M60003854</t>
  </si>
  <si>
    <t>A00600003854</t>
  </si>
  <si>
    <t>OYOU GNANGORAN FRANCELINE EPSE YAPO 01-52-45-01-40</t>
  </si>
  <si>
    <t>5880</t>
  </si>
  <si>
    <t>M600PRT2025027U00065</t>
  </si>
  <si>
    <t>M60004694</t>
  </si>
  <si>
    <t>N'CHO AGNI MARIE MICHELLE 0171969970</t>
  </si>
  <si>
    <t>5883</t>
  </si>
  <si>
    <t>M600PRT2025027U00066</t>
  </si>
  <si>
    <t>M60002159</t>
  </si>
  <si>
    <t>A00600002159</t>
  </si>
  <si>
    <t>MELEDJE NAM CHANTAL EPSE LASME 01-01-05-84-50/05-55-59-16-77</t>
  </si>
  <si>
    <t>5878*</t>
  </si>
  <si>
    <t>M600PRT2025027U00070</t>
  </si>
  <si>
    <t>M60003705</t>
  </si>
  <si>
    <t>A00600003705</t>
  </si>
  <si>
    <t>DADJE DANO STEPHANE 00-75-71-53-88/7</t>
  </si>
  <si>
    <t>5920</t>
  </si>
  <si>
    <t>M600PRT2025027U00071</t>
  </si>
  <si>
    <t>M60001819</t>
  </si>
  <si>
    <t>A00600001819</t>
  </si>
  <si>
    <t>AISSERY CANTIENE BATIENE 01-51-07-73-11</t>
  </si>
  <si>
    <t>5914</t>
  </si>
  <si>
    <t>M600PRT2025027U00072</t>
  </si>
  <si>
    <t>M60002003</t>
  </si>
  <si>
    <t>A00600002003</t>
  </si>
  <si>
    <t>KAKOU MAULAU BERNADETTE 0546657445</t>
  </si>
  <si>
    <t>5915</t>
  </si>
  <si>
    <t>M600PRT2025027U00073</t>
  </si>
  <si>
    <t>M60004611</t>
  </si>
  <si>
    <t>CHAOUA CHRISTINE CAROLE EPOUSE SAVIE 0140681196</t>
  </si>
  <si>
    <t>5919</t>
  </si>
  <si>
    <t>M600PRT2025027U00084</t>
  </si>
  <si>
    <t>M60000757</t>
  </si>
  <si>
    <t>A00600000757</t>
  </si>
  <si>
    <t>ATSE KOSSA VIVIANE SOPHIE 05-06-95-99-66/01-01-01-82-93</t>
  </si>
  <si>
    <t>6021*</t>
  </si>
  <si>
    <t>M600PRT2025027U00085</t>
  </si>
  <si>
    <t>M60001780</t>
  </si>
  <si>
    <t>A00600001780</t>
  </si>
  <si>
    <t>ALLAH N` DRI EMILIS DENIS 07-07-16-30-60</t>
  </si>
  <si>
    <t>6026</t>
  </si>
  <si>
    <t>M600PRT2025027U00086</t>
  </si>
  <si>
    <t>M60004074</t>
  </si>
  <si>
    <t>A00600004074</t>
  </si>
  <si>
    <t>AKPI AGOUA JULIANA 07-97-08-88-82/05-74-11-22-89</t>
  </si>
  <si>
    <t>6034</t>
  </si>
  <si>
    <t>M600PRT2025027U00087</t>
  </si>
  <si>
    <t>M60003615</t>
  </si>
  <si>
    <t>A00600003615</t>
  </si>
  <si>
    <t>ACHADE LALE FLORENCE EPSE TAIWO 07-09-96-05-65/05-84-37-37-68</t>
  </si>
  <si>
    <t>6030</t>
  </si>
  <si>
    <t>M600PRT2025028U00048</t>
  </si>
  <si>
    <t>M60003549</t>
  </si>
  <si>
    <t>A00600003549</t>
  </si>
  <si>
    <t>FADAYO ISMAILA 01-02-10-05-93</t>
  </si>
  <si>
    <t>5787</t>
  </si>
  <si>
    <t>M600PRT2025028U00049</t>
  </si>
  <si>
    <t>M60002424</t>
  </si>
  <si>
    <t>A00600002424</t>
  </si>
  <si>
    <t>AKA CLARISSE MARIE  LAETITIA EPSE YAPI 01-02-48-62-49/07-09-27-04-49</t>
  </si>
  <si>
    <t>5783</t>
  </si>
  <si>
    <t>M600PRT2025028U00050</t>
  </si>
  <si>
    <t>M60004570</t>
  </si>
  <si>
    <t>YAPI APIE GENEVIEVE 0788608887</t>
  </si>
  <si>
    <t>5785</t>
  </si>
  <si>
    <t>M600PRT2025028U00051</t>
  </si>
  <si>
    <t>M60004573</t>
  </si>
  <si>
    <t>BIKIENGA KASSOUM 0707285359</t>
  </si>
  <si>
    <t>5789</t>
  </si>
  <si>
    <t>M600PRT2025028U00068</t>
  </si>
  <si>
    <t>M60004120</t>
  </si>
  <si>
    <t>A00600004120</t>
  </si>
  <si>
    <t>ADJALOU OSCAR 07-49-04-08-21</t>
  </si>
  <si>
    <t>5849</t>
  </si>
  <si>
    <t>M600PRT2025028U00070</t>
  </si>
  <si>
    <t>M60004660</t>
  </si>
  <si>
    <t>KOSSIA SANA 0505053599</t>
  </si>
  <si>
    <t>5848</t>
  </si>
  <si>
    <t>M600PRT2025028U00074</t>
  </si>
  <si>
    <t>M60004648</t>
  </si>
  <si>
    <t>DAH KIEMTERE 0143074684</t>
  </si>
  <si>
    <t>5885</t>
  </si>
  <si>
    <t>M600PRT2025028U00076</t>
  </si>
  <si>
    <t>M60004686</t>
  </si>
  <si>
    <t>AGUIA AMECHY LAURENCE 0506457755</t>
  </si>
  <si>
    <t>5882</t>
  </si>
  <si>
    <t>M600PRT2025028U00089</t>
  </si>
  <si>
    <t>M60003234</t>
  </si>
  <si>
    <t>A00600003234</t>
  </si>
  <si>
    <t>AMOND EPSE AMON PELAGIE CAROLINE FLORA 07-77-08-26-87</t>
  </si>
  <si>
    <t>5918</t>
  </si>
  <si>
    <t>M600PRT2025028U00090</t>
  </si>
  <si>
    <t>M60001760</t>
  </si>
  <si>
    <t>A00600001760</t>
  </si>
  <si>
    <t>KOFFI AHOU MARIE THERESE 07-48-21-78-88</t>
  </si>
  <si>
    <t>5913</t>
  </si>
  <si>
    <t>M600PRT2025028U00091</t>
  </si>
  <si>
    <t>M60004729</t>
  </si>
  <si>
    <t>AMUSAN TAIWO THOMAS 0759211718</t>
  </si>
  <si>
    <t>5924</t>
  </si>
  <si>
    <t>M600PRT2025028U00092</t>
  </si>
  <si>
    <t>M60004666</t>
  </si>
  <si>
    <t>SORO TCHELIGNINNIN BASSIETOU 0143515226</t>
  </si>
  <si>
    <t>5864</t>
  </si>
  <si>
    <t>M600PRT2025028U00105</t>
  </si>
  <si>
    <t>M60004189</t>
  </si>
  <si>
    <t>KAKOU ABLAN ARMANDE ALIDA 0747366445</t>
  </si>
  <si>
    <t>6038</t>
  </si>
  <si>
    <t>M600PRT2025028U00106</t>
  </si>
  <si>
    <t>M60001427</t>
  </si>
  <si>
    <t>A00600001427</t>
  </si>
  <si>
    <t>GBOCHO AKOUASSI  ANASTASIE  EPSE KATTOU 07-07-76-30-56</t>
  </si>
  <si>
    <t>6024</t>
  </si>
  <si>
    <t>M600PRT2025028U00108</t>
  </si>
  <si>
    <t>M60004060</t>
  </si>
  <si>
    <t>A00600004060</t>
  </si>
  <si>
    <t>DIARRASSOUBA MARIAM 07-07-38-78-99</t>
  </si>
  <si>
    <t>6033</t>
  </si>
  <si>
    <t>M600PRT2025028U00109</t>
  </si>
  <si>
    <t>M60004449</t>
  </si>
  <si>
    <t>ABRO YABA OLGA 0777279884</t>
  </si>
  <si>
    <t>6041</t>
  </si>
  <si>
    <t>M600PRT2025028U00110</t>
  </si>
  <si>
    <t>M60002822</t>
  </si>
  <si>
    <t>A00600002822</t>
  </si>
  <si>
    <t>SESSOUMA MARIAM 07-47-14-76-33</t>
  </si>
  <si>
    <t>6028</t>
  </si>
  <si>
    <t>M600PRT2025028U00111</t>
  </si>
  <si>
    <t>M60003745</t>
  </si>
  <si>
    <t>A00600003745</t>
  </si>
  <si>
    <t>AHUI CHIA PRISCA 01-40-22-69-42</t>
  </si>
  <si>
    <t>6031</t>
  </si>
  <si>
    <t>M600PRT2025028U00112</t>
  </si>
  <si>
    <t>M60001603</t>
  </si>
  <si>
    <t>A00600001603</t>
  </si>
  <si>
    <t>ZAKEHI GBAHI ALICE 07-47-85-30-66</t>
  </si>
  <si>
    <t>6025</t>
  </si>
  <si>
    <t>M600PRT2025028U00113</t>
  </si>
  <si>
    <t>M60002200</t>
  </si>
  <si>
    <t>A00600002200</t>
  </si>
  <si>
    <t>AKAFFOU APO MARIE GILDAS 07-07-37-08-92</t>
  </si>
  <si>
    <t>6037</t>
  </si>
  <si>
    <t>M600PRT2025028U00115</t>
  </si>
  <si>
    <t>M60004155</t>
  </si>
  <si>
    <t>ANGBO FERDINAND  ELFRIED 0565631011</t>
  </si>
  <si>
    <t>6047</t>
  </si>
  <si>
    <t>M600PRT2025028U00116</t>
  </si>
  <si>
    <t>M60004126</t>
  </si>
  <si>
    <t>A00600004126</t>
  </si>
  <si>
    <t>ADOU KAYE FLORA GATHIENNE 01-71-49-91-29/05-54-74-44-81</t>
  </si>
  <si>
    <t>6035</t>
  </si>
  <si>
    <t>M600PRT2025029U00029</t>
  </si>
  <si>
    <t>M60003155</t>
  </si>
  <si>
    <t>A00600003155</t>
  </si>
  <si>
    <t>TRAORE SIDY MODIBO 05-65-93-18-93</t>
  </si>
  <si>
    <t>5805</t>
  </si>
  <si>
    <t>M600PRT2025029U00033</t>
  </si>
  <si>
    <t>M60004149</t>
  </si>
  <si>
    <t>A00600004149</t>
  </si>
  <si>
    <t>N'DIN CHIA GERADINE 0759798186</t>
  </si>
  <si>
    <t>5812</t>
  </si>
  <si>
    <t>M600PRT2025029U00054</t>
  </si>
  <si>
    <t>M60003142</t>
  </si>
  <si>
    <t>A00600003142</t>
  </si>
  <si>
    <t>ATSE N CHOT LEONIE MARCELLE 01-01-02-12-82/07-49-37-47-20</t>
  </si>
  <si>
    <t>5878</t>
  </si>
  <si>
    <t>M600PRT2025029U00066</t>
  </si>
  <si>
    <t>M60003736</t>
  </si>
  <si>
    <t>A00600003736</t>
  </si>
  <si>
    <t>KOMENAN SERGE RICHARD CORENTIN NEBOUT 07-89-70-95-17/01-42-71-39-28</t>
  </si>
  <si>
    <t>5921</t>
  </si>
  <si>
    <t>M600PRT2025029U00067</t>
  </si>
  <si>
    <t>M60004022</t>
  </si>
  <si>
    <t>A00600004022</t>
  </si>
  <si>
    <t>ANNEY FREDERIC 07-08-30-80-70/05-04-77-09-09</t>
  </si>
  <si>
    <t>5922</t>
  </si>
  <si>
    <t>M600PRT2025029U00068</t>
  </si>
  <si>
    <t>M60004167</t>
  </si>
  <si>
    <t>AGUIE ATSE MATHIAS BERNADIN 0576442289</t>
  </si>
  <si>
    <t>5923</t>
  </si>
  <si>
    <t>M600PRT2025029U00070</t>
  </si>
  <si>
    <t>M60002805</t>
  </si>
  <si>
    <t>A00600002805</t>
  </si>
  <si>
    <t>LEHOU BIENVENUE 07-09-02-42-58/01-51-77-97-24</t>
  </si>
  <si>
    <t>5916</t>
  </si>
  <si>
    <t>M600PRT2025029U00078</t>
  </si>
  <si>
    <t>M60002577</t>
  </si>
  <si>
    <t>A00600002577</t>
  </si>
  <si>
    <t>MANLAN GNIMA ALICE 07-07-29-67-82/01-02-92-44-55</t>
  </si>
  <si>
    <t>5949</t>
  </si>
  <si>
    <t>M600PRT2025029U00079</t>
  </si>
  <si>
    <t>M60004030</t>
  </si>
  <si>
    <t>A00600004030</t>
  </si>
  <si>
    <t>KOUADIO KOUAKOU BAH JULES HERVE 01-43-85-55-58/07-57-13-93-87</t>
  </si>
  <si>
    <t>5968</t>
  </si>
  <si>
    <t>M600PRT2025029U00080</t>
  </si>
  <si>
    <t>M60000854</t>
  </si>
  <si>
    <t>A00600000854</t>
  </si>
  <si>
    <t>GNANGUI CHADON 40-70-07-77-41/60-54-98</t>
  </si>
  <si>
    <t>Crédit AGRI Intrant</t>
  </si>
  <si>
    <t>5948</t>
  </si>
  <si>
    <t>M600PRT2025029U00081</t>
  </si>
  <si>
    <t>M60003057</t>
  </si>
  <si>
    <t>A00600003057</t>
  </si>
  <si>
    <t>KONIN EHOUMAN SYLVIE CHANTAL 01-02-20-95-03/07-08-07-24-11</t>
  </si>
  <si>
    <t>5953</t>
  </si>
  <si>
    <t>M600PRT2025029U00082</t>
  </si>
  <si>
    <t>M60003394</t>
  </si>
  <si>
    <t>A00600003394</t>
  </si>
  <si>
    <t>EKRA ADJOUA MOUAN NATACHA 07-47-42-60-66/01-01-81-88-71</t>
  </si>
  <si>
    <t>5954</t>
  </si>
  <si>
    <t>M600PRT2025029U00096</t>
  </si>
  <si>
    <t>M60004867</t>
  </si>
  <si>
    <t>OLADAPO OYEFUNMIKE OLAYIOYE 0504615604</t>
  </si>
  <si>
    <t>6045</t>
  </si>
  <si>
    <t>M600PRT2025029U00097</t>
  </si>
  <si>
    <t>M60002812</t>
  </si>
  <si>
    <t>A00600002812</t>
  </si>
  <si>
    <t>TOH SANATA 07-34-90-33</t>
  </si>
  <si>
    <t>6027</t>
  </si>
  <si>
    <t>M600PRT2025029U00098</t>
  </si>
  <si>
    <t>M60003110</t>
  </si>
  <si>
    <t>A00600003110</t>
  </si>
  <si>
    <t>SEKA APO DENISE 01-02-10-04-49/05-44-49-44-48</t>
  </si>
  <si>
    <t>6029</t>
  </si>
  <si>
    <t>M600PRT2025117U00006</t>
  </si>
  <si>
    <t>M60002928</t>
  </si>
  <si>
    <t>A00600002928</t>
  </si>
  <si>
    <t>ZAPSONRE RASMATA 07-07-16-11-01/01-01-86-42-02</t>
  </si>
  <si>
    <t>5917</t>
  </si>
  <si>
    <t>M600PRT2025117U00020</t>
  </si>
  <si>
    <t>M60002996</t>
  </si>
  <si>
    <t>A00600002996</t>
  </si>
  <si>
    <t>HINO AMI CORINE 07-57-38-38-28/01-03-16-87-28</t>
  </si>
  <si>
    <t>5952</t>
  </si>
  <si>
    <t>M600PRT2025117U00021</t>
  </si>
  <si>
    <t>M60004782</t>
  </si>
  <si>
    <t>ATSE CHIA ALBERTINE EPOUSE ANON 0709328046</t>
  </si>
  <si>
    <t>5961</t>
  </si>
  <si>
    <t>M600PRT2025117U00022</t>
  </si>
  <si>
    <t>M60004777</t>
  </si>
  <si>
    <t>LOROU LOU ZEMINI ANGE MARIE LAURE 0545898734</t>
  </si>
  <si>
    <t>5960</t>
  </si>
  <si>
    <t>M600PRT2025117U00023</t>
  </si>
  <si>
    <t>M60003953</t>
  </si>
  <si>
    <t>A00600003953</t>
  </si>
  <si>
    <t>N DIN CAROLLINE  GRACE 07-57-24-97-63</t>
  </si>
  <si>
    <t>5958</t>
  </si>
  <si>
    <t>M600PRT2025117U00024</t>
  </si>
  <si>
    <t>M60004783</t>
  </si>
  <si>
    <t>KAMBO APO DELPHINE 0102252087</t>
  </si>
  <si>
    <t>5962</t>
  </si>
  <si>
    <t>M600PRT2025117U00025</t>
  </si>
  <si>
    <t>M60003802</t>
  </si>
  <si>
    <t>A00600003802</t>
  </si>
  <si>
    <t>KONE NANDJALIA 07-77-22-49-78</t>
  </si>
  <si>
    <t>5956</t>
  </si>
  <si>
    <t>M600PRT2025117U00027</t>
  </si>
  <si>
    <t>M60004790</t>
  </si>
  <si>
    <t>ESSOH NOME CLARISSE 0777152717</t>
  </si>
  <si>
    <t>4790</t>
  </si>
  <si>
    <t>M600PRT2025117U00028</t>
  </si>
  <si>
    <t>M60004786</t>
  </si>
  <si>
    <t>AKE KOKO BLANCHE 0594520806</t>
  </si>
  <si>
    <t>5964</t>
  </si>
  <si>
    <t>M600PRT2025117U00029</t>
  </si>
  <si>
    <t>M60003626</t>
  </si>
  <si>
    <t>A00600003626</t>
  </si>
  <si>
    <t>AMAN CHI ASSI YVETTE 07-47-64-95-12/01-43-29-81-17</t>
  </si>
  <si>
    <t>5955</t>
  </si>
  <si>
    <t>M600PRT2025117U00030</t>
  </si>
  <si>
    <t>M60004796</t>
  </si>
  <si>
    <t>OUATTARA ABDOULAYE 0709660121</t>
  </si>
  <si>
    <t>5974</t>
  </si>
  <si>
    <t>M600PRT2025117U00031</t>
  </si>
  <si>
    <t>M60004043</t>
  </si>
  <si>
    <t>A00600004043</t>
  </si>
  <si>
    <t>NIKIEMA ADAMA 05-00-47-10-11</t>
  </si>
  <si>
    <t>5969</t>
  </si>
  <si>
    <t>M600PRT2025117U00032</t>
  </si>
  <si>
    <t>M60004200</t>
  </si>
  <si>
    <t>ASSEPO APO REINE JOSIANE 0566068035</t>
  </si>
  <si>
    <t>5959</t>
  </si>
  <si>
    <t>M600PRT2025117U00033</t>
  </si>
  <si>
    <t>M60004792</t>
  </si>
  <si>
    <t>ACHADA ACHADA LUDOVIC 0709419434</t>
  </si>
  <si>
    <t>5973</t>
  </si>
  <si>
    <t>M600PRT2025117U00034</t>
  </si>
  <si>
    <t>M60004534</t>
  </si>
  <si>
    <t>HIEN SIE CASIMIR 0103196435</t>
  </si>
  <si>
    <t>5975</t>
  </si>
  <si>
    <t>M600PRT2025117U00035</t>
  </si>
  <si>
    <t>M60001386</t>
  </si>
  <si>
    <t>A00600001386</t>
  </si>
  <si>
    <t>KONAN AKISSI EDWIGE EPSE KOFFI 02-78-80-16/09-77-09-82</t>
  </si>
  <si>
    <t>5949.</t>
  </si>
  <si>
    <t>M600PRT2025117U00036</t>
  </si>
  <si>
    <t>M60004778</t>
  </si>
  <si>
    <t>ASSI ATSE GUILLAUME 0101833321</t>
  </si>
  <si>
    <t>5970</t>
  </si>
  <si>
    <t>M600PRT2025117U00037</t>
  </si>
  <si>
    <t>M60004788</t>
  </si>
  <si>
    <t>SANGARE IBRAHIM 0161543666</t>
  </si>
  <si>
    <t>5971.</t>
  </si>
  <si>
    <t>M600PRT2025117U00038</t>
  </si>
  <si>
    <t>M60000368</t>
  </si>
  <si>
    <t>A00600000368</t>
  </si>
  <si>
    <t>KONGO EPSE  AKA   CASIMIR 07-08-65-48-74</t>
  </si>
  <si>
    <t>5967</t>
  </si>
  <si>
    <t>M600PRT2025117U00039</t>
  </si>
  <si>
    <t>M60004793</t>
  </si>
  <si>
    <t>KONATE KARIDJATOU 0506988426</t>
  </si>
  <si>
    <t>5966</t>
  </si>
  <si>
    <t>M600PRT2025117U00040</t>
  </si>
  <si>
    <t>M60004791</t>
  </si>
  <si>
    <t>HASSANE HAMANI 0172432428</t>
  </si>
  <si>
    <t>5972</t>
  </si>
  <si>
    <t>M700PRT2025031U00001</t>
  </si>
  <si>
    <t>M70002374</t>
  </si>
  <si>
    <t>EDABA BEUGRE EBLOVOUIN ADELINE 0707494553</t>
  </si>
  <si>
    <t>M700DMD2025096U00149</t>
  </si>
  <si>
    <t>M700PRT2025031U00002</t>
  </si>
  <si>
    <t>M70001442</t>
  </si>
  <si>
    <t>A00700001442</t>
  </si>
  <si>
    <t>N'DRIN GNADJUE 0709174268</t>
  </si>
  <si>
    <t>M700DMD2025096U00166</t>
  </si>
  <si>
    <t>M700PRT2025064U00002</t>
  </si>
  <si>
    <t>M70002181</t>
  </si>
  <si>
    <t>A00700002181</t>
  </si>
  <si>
    <t>DIARRA ADAMA 01-01-20-14-37</t>
  </si>
  <si>
    <t>M700DMD2025096U00120</t>
  </si>
  <si>
    <t>M700PRT2025064U00003</t>
  </si>
  <si>
    <t>M70001717</t>
  </si>
  <si>
    <t>A00700001717</t>
  </si>
  <si>
    <t>COULIBALY DJATA 0708713379</t>
  </si>
  <si>
    <t>M700DMD2025096U00183</t>
  </si>
  <si>
    <t>M700PRT2025064U00004</t>
  </si>
  <si>
    <t>M70002154</t>
  </si>
  <si>
    <t>A00700002154</t>
  </si>
  <si>
    <t>KOUASSI AHOU PAULINE 0748236399</t>
  </si>
  <si>
    <t>M700DMD2025096U00175</t>
  </si>
  <si>
    <t>M700PRT2025065U00132</t>
  </si>
  <si>
    <t>M70002392</t>
  </si>
  <si>
    <t>SAWADOGO BALGUISSA 0769920102</t>
  </si>
  <si>
    <t>M700DMD2025096U00104</t>
  </si>
  <si>
    <t>M700PRT2025065U00140</t>
  </si>
  <si>
    <t>M70000360</t>
  </si>
  <si>
    <t>A00700000360</t>
  </si>
  <si>
    <t>DJAHIMA AMINATA 0758663533</t>
  </si>
  <si>
    <t>M700DMD2025096U00127</t>
  </si>
  <si>
    <t>M700PRT2025065U00141</t>
  </si>
  <si>
    <t>M70002309</t>
  </si>
  <si>
    <t>YEPI DJOMAN BERNARD 0503698890</t>
  </si>
  <si>
    <t>M700DMD2025096U00114</t>
  </si>
  <si>
    <t>M700PRT2025065U00142</t>
  </si>
  <si>
    <t>M70001323</t>
  </si>
  <si>
    <t>A00700001323</t>
  </si>
  <si>
    <t>YAO AMENAN MARTHE 49-60-87-70</t>
  </si>
  <si>
    <t>M700DMD2025096U00122</t>
  </si>
  <si>
    <t>M700PRT2025065U00143</t>
  </si>
  <si>
    <t>M70000535</t>
  </si>
  <si>
    <t>A00700000535</t>
  </si>
  <si>
    <t>KONE MAWA 0504547058</t>
  </si>
  <si>
    <t>M700DMD2025096U00126</t>
  </si>
  <si>
    <t>M700PRT2025065U00144</t>
  </si>
  <si>
    <t>M70001621</t>
  </si>
  <si>
    <t>A00700001621</t>
  </si>
  <si>
    <t>BALLO DIAKALIA 0777508745</t>
  </si>
  <si>
    <t>M700DMD2025096U00117</t>
  </si>
  <si>
    <t>M700PRT2025065U00145</t>
  </si>
  <si>
    <t>M70002072</t>
  </si>
  <si>
    <t>A00700002072</t>
  </si>
  <si>
    <t>EBOI WADJA FELIX 07-03-92-21-46</t>
  </si>
  <si>
    <t>M700DMD2025096U00121</t>
  </si>
  <si>
    <t>M700PRT2025065U00146</t>
  </si>
  <si>
    <t>M70001754</t>
  </si>
  <si>
    <t>A00700001754</t>
  </si>
  <si>
    <t>HIEN THO ANDERSON 0555514152</t>
  </si>
  <si>
    <t>M700DMD2025096U00123</t>
  </si>
  <si>
    <t>M700PRT2025065U00152</t>
  </si>
  <si>
    <t>M70000534</t>
  </si>
  <si>
    <t>A00700000534</t>
  </si>
  <si>
    <t>KONATE NAHAWA 07-08-52-65-44</t>
  </si>
  <si>
    <t>M700DMD2025096U00112</t>
  </si>
  <si>
    <t>M700PRT2025065U00153</t>
  </si>
  <si>
    <t>M70002429</t>
  </si>
  <si>
    <t>SAWADOGO ABDOUL WAHAB 0708550136</t>
  </si>
  <si>
    <t>M700DMD2025096U00132</t>
  </si>
  <si>
    <t>M700PRT2025065U00155</t>
  </si>
  <si>
    <t>M70002142</t>
  </si>
  <si>
    <t>A00700002142</t>
  </si>
  <si>
    <t>BAMBA LANCINE 0707106142</t>
  </si>
  <si>
    <t>M700DMD2025096U00168</t>
  </si>
  <si>
    <t>M700PRT2025065U00156</t>
  </si>
  <si>
    <t>M70000779</t>
  </si>
  <si>
    <t>A00700000779</t>
  </si>
  <si>
    <t>N'DA M'BOUAFOH  ANNE-URSULA 0747665643</t>
  </si>
  <si>
    <t>M700DMD2025096U00161</t>
  </si>
  <si>
    <t>M700PRT2025065U00157</t>
  </si>
  <si>
    <t>M70002468</t>
  </si>
  <si>
    <t>BADIEL MARIAM 0789377319</t>
  </si>
  <si>
    <t>M700DMD2025096U00174</t>
  </si>
  <si>
    <t>M700PRT2025065U00158</t>
  </si>
  <si>
    <t>M70002421</t>
  </si>
  <si>
    <t>BADIEL BOUKARY 0707283415</t>
  </si>
  <si>
    <t>M700DMD2025096U00143</t>
  </si>
  <si>
    <t>M700PRT2025065U00159</t>
  </si>
  <si>
    <t>M70002138</t>
  </si>
  <si>
    <t>A00700002138</t>
  </si>
  <si>
    <t>SOURKOU BROU YVONNE 07-07-25-87-92</t>
  </si>
  <si>
    <t>M700DMD2025096U00201</t>
  </si>
  <si>
    <t>M700PRT2025065U00164</t>
  </si>
  <si>
    <t>M70002029</t>
  </si>
  <si>
    <t>A00700002029</t>
  </si>
  <si>
    <t>ALLASSANE GANSSORE 0757683747</t>
  </si>
  <si>
    <t>M700DMD2025096U00170</t>
  </si>
  <si>
    <t>M700PRT2025066U00006</t>
  </si>
  <si>
    <t>M70002132</t>
  </si>
  <si>
    <t>A00700002132</t>
  </si>
  <si>
    <t>OUATTARA DRISSA 07-09-73-29-73</t>
  </si>
  <si>
    <t>M700DMD2025096U00148</t>
  </si>
  <si>
    <t>M700PRT2025066U00007</t>
  </si>
  <si>
    <t>M70000344</t>
  </si>
  <si>
    <t>A00700000344</t>
  </si>
  <si>
    <t>YALAY EVRIWIN VALENTINE 06-03-32-40</t>
  </si>
  <si>
    <t>M700DMD2025096U00145</t>
  </si>
  <si>
    <t>M700PRT2025066U00008</t>
  </si>
  <si>
    <t>M70002428</t>
  </si>
  <si>
    <t>KOUAME ADOU ABOU 0747562481</t>
  </si>
  <si>
    <t>M700DMD2025096U00133</t>
  </si>
  <si>
    <t>M700PRT2025066U00009</t>
  </si>
  <si>
    <t>M70000383</t>
  </si>
  <si>
    <t>A00700000383</t>
  </si>
  <si>
    <t>N'GUESSAN AFFOUE ELISE 0707342163</t>
  </si>
  <si>
    <t>M700DMD2025096U00130</t>
  </si>
  <si>
    <t>M700PRT2025066U00010</t>
  </si>
  <si>
    <t>M70002442</t>
  </si>
  <si>
    <t>AGOH AFFOUE  SALOME 0784159006</t>
  </si>
  <si>
    <t>M700DMD2025096U00142</t>
  </si>
  <si>
    <t>M700PRT2025066U00011</t>
  </si>
  <si>
    <t>M70002430</t>
  </si>
  <si>
    <t>AKE CHENIN MIREILLE-LAURE 0767886625</t>
  </si>
  <si>
    <t>M700DMD2025096U00134</t>
  </si>
  <si>
    <t>M700PRT2025066U00012</t>
  </si>
  <si>
    <t>M70002417</t>
  </si>
  <si>
    <t>KOSSONOU KOFFI DANIEL 01524020</t>
  </si>
  <si>
    <t>M700DMD2025096U00150</t>
  </si>
  <si>
    <t>M700PRT2025066U00014</t>
  </si>
  <si>
    <t>M70001614</t>
  </si>
  <si>
    <t>A00700001614</t>
  </si>
  <si>
    <t>KPATA épouse BALIFI AYA SIMONE DOROTHEE 0759808440</t>
  </si>
  <si>
    <t>M700DMD2025096U00152</t>
  </si>
  <si>
    <t>M700PRT2025066U00015</t>
  </si>
  <si>
    <t>M70001223</t>
  </si>
  <si>
    <t>A00700001223</t>
  </si>
  <si>
    <t>KOUMOIN épouse KOUADIO LANGOUA ABIBA 0709378327</t>
  </si>
  <si>
    <t>M700DMD2025096U00186</t>
  </si>
  <si>
    <t>M700PRT2025066U00016</t>
  </si>
  <si>
    <t>M70001942</t>
  </si>
  <si>
    <t>A00700001942</t>
  </si>
  <si>
    <t>NINDIN NGUESSAN MARIE-JOSÉE 0757332986</t>
  </si>
  <si>
    <t>M700DMD2025096U00173</t>
  </si>
  <si>
    <t>M700PRT2025066U00017</t>
  </si>
  <si>
    <t>M70001601</t>
  </si>
  <si>
    <t>A00700001601</t>
  </si>
  <si>
    <t>KOUASSI AUDREY MANETTE 0787090440</t>
  </si>
  <si>
    <t>M700DMD2025096U00162</t>
  </si>
  <si>
    <t>M700PRT2025066U00018</t>
  </si>
  <si>
    <t>M70000277</t>
  </si>
  <si>
    <t>A00700000277</t>
  </si>
  <si>
    <t>SANGNE N`GUESSAN épouse DIAKI 0709233209</t>
  </si>
  <si>
    <t>M700DMD2025096U00129</t>
  </si>
  <si>
    <t>M700PRT2025066U00019</t>
  </si>
  <si>
    <t>M70000656</t>
  </si>
  <si>
    <t>A00700000656</t>
  </si>
  <si>
    <t>ALABI SILAMIA 45-06-27-34</t>
  </si>
  <si>
    <t>M700DMD2025096U00158</t>
  </si>
  <si>
    <t>M700PRT2025066U00020</t>
  </si>
  <si>
    <t>M70001358</t>
  </si>
  <si>
    <t>A00700001358</t>
  </si>
  <si>
    <t>AMESSAN GNABAHON LUCIENNE 48-27-76-73/03-38-51-47</t>
  </si>
  <si>
    <t>M700DMD2025096U00182</t>
  </si>
  <si>
    <t>M700PRT2025066U00021</t>
  </si>
  <si>
    <t>M70000686</t>
  </si>
  <si>
    <t>A00700000686</t>
  </si>
  <si>
    <t>OULAI MONDAHAN  EDITH  HORTENSE 0758482262</t>
  </si>
  <si>
    <t>M700DMD2025096U00157</t>
  </si>
  <si>
    <t>M700PRT2025066U00022</t>
  </si>
  <si>
    <t>M70002433</t>
  </si>
  <si>
    <t>SANGARE FANTA 0757432293</t>
  </si>
  <si>
    <t>M700DMD2025096U00137</t>
  </si>
  <si>
    <t>M700PRT2025066U00023</t>
  </si>
  <si>
    <t>M70002434</t>
  </si>
  <si>
    <t>KONATE KARIDIATOU 0769295508</t>
  </si>
  <si>
    <t>M700DMD2025096U00136</t>
  </si>
  <si>
    <t>M700PRT2025066U00024</t>
  </si>
  <si>
    <t>M70002435</t>
  </si>
  <si>
    <t>DIABY ASSIATA 0768495792</t>
  </si>
  <si>
    <t>M700DMD2025096U00135</t>
  </si>
  <si>
    <t>M700PRT2025066U00025</t>
  </si>
  <si>
    <t>M70000496</t>
  </si>
  <si>
    <t>A00700000496</t>
  </si>
  <si>
    <t>CISSE TATA MARCELLE 0709047770</t>
  </si>
  <si>
    <t>M700DMD2025096U00160</t>
  </si>
  <si>
    <t>M700PRT2025066U00030</t>
  </si>
  <si>
    <t>M70002423</t>
  </si>
  <si>
    <t>ZOKORA YVES 0768707204</t>
  </si>
  <si>
    <t>M700DMD2025096U00179</t>
  </si>
  <si>
    <t>M700PRT2025066U00033</t>
  </si>
  <si>
    <t>M70002473</t>
  </si>
  <si>
    <t>HIEN SIE DOMINIQUE 0142639348</t>
  </si>
  <si>
    <t>M700DMD2025096U00178</t>
  </si>
  <si>
    <t>M700PRT2025078U00001</t>
  </si>
  <si>
    <t>M70000017</t>
  </si>
  <si>
    <t>A00700000017</t>
  </si>
  <si>
    <t>N`GUESSAN LEGBE VICTORINE 89-51-42-80</t>
  </si>
  <si>
    <t>M700DMD2025096U00110</t>
  </si>
  <si>
    <t>M700PRT2025078U00002</t>
  </si>
  <si>
    <t>M70000014</t>
  </si>
  <si>
    <t>A00700000014</t>
  </si>
  <si>
    <t>SANOKO ANNA 06-53-31-38</t>
  </si>
  <si>
    <t>M700DMD2025096U00159</t>
  </si>
  <si>
    <t>M700PRT2025078U00005</t>
  </si>
  <si>
    <t>M70002471</t>
  </si>
  <si>
    <t>AGUIA AMOAN 0709350764</t>
  </si>
  <si>
    <t>M700DMD2025096U00176</t>
  </si>
  <si>
    <t>M700PRT2025078U00007</t>
  </si>
  <si>
    <t>M70001979</t>
  </si>
  <si>
    <t>A00700001979</t>
  </si>
  <si>
    <t>LAGO N DRIN GASTON 0709168888</t>
  </si>
  <si>
    <t>M700DMD2025096U00199</t>
  </si>
  <si>
    <t>M700PRT2025078U00009</t>
  </si>
  <si>
    <t>M70002449</t>
  </si>
  <si>
    <t>KOUASSI AFFOUE CHRISTINA-JUDICAEL 0545429818</t>
  </si>
  <si>
    <t>M700DMD2025096U00165</t>
  </si>
  <si>
    <t>M700PRT2026066U00001</t>
  </si>
  <si>
    <t>M70001218</t>
  </si>
  <si>
    <t>A00700001218</t>
  </si>
  <si>
    <t>ZANDEU LAGALE EMILIE 0544255661</t>
  </si>
  <si>
    <t>M700DMD2026096U00001</t>
  </si>
  <si>
    <t>M700PRT2026078U00002</t>
  </si>
  <si>
    <t>M70002617</t>
  </si>
  <si>
    <t>BEHI KOSSIA FROI ELISE 0749565880</t>
  </si>
  <si>
    <t>M700DMD2026096U00007</t>
  </si>
  <si>
    <t>A009P202411003</t>
  </si>
  <si>
    <t>M71000007</t>
  </si>
  <si>
    <t>A00900000007</t>
  </si>
  <si>
    <t>ESSOH YOU APPOLINE 05-05-04-81-32/00-95-19-93-9</t>
  </si>
  <si>
    <t>M710PRT2024056U00067</t>
  </si>
  <si>
    <t>M71000650</t>
  </si>
  <si>
    <t>A00900000650</t>
  </si>
  <si>
    <t>KONE LALAH LILIANE GERTRUDE 01-72-15-30-80</t>
  </si>
  <si>
    <t>1944</t>
  </si>
  <si>
    <t>M710PRT2025054U00017</t>
  </si>
  <si>
    <t>M71001137</t>
  </si>
  <si>
    <t>AKILEY AVOLA EDWIGE 0707380982</t>
  </si>
  <si>
    <t>1966</t>
  </si>
  <si>
    <t>M710PRT2025054U00020</t>
  </si>
  <si>
    <t>M71001131</t>
  </si>
  <si>
    <t>ADE MELEME LOUISE 0586678059</t>
  </si>
  <si>
    <t>1960</t>
  </si>
  <si>
    <t>M710PRT2025054U00027</t>
  </si>
  <si>
    <t>M71001126</t>
  </si>
  <si>
    <t>GNAGNE ADELINE 0757057019</t>
  </si>
  <si>
    <t>1955</t>
  </si>
  <si>
    <t>M710PRT2025054U00029</t>
  </si>
  <si>
    <t>M71000203</t>
  </si>
  <si>
    <t>A00900000203</t>
  </si>
  <si>
    <t>SOHOU ZONSELOUE CHRISTINE M. EPSE GNOMBLEA 07-07-97-33-83/07-07-03-78-26</t>
  </si>
  <si>
    <t>2081</t>
  </si>
  <si>
    <t>M710PRT2025054U00030</t>
  </si>
  <si>
    <t>M71001259</t>
  </si>
  <si>
    <t>AKPA MELIANE MARIE EULALIE 0708760934</t>
  </si>
  <si>
    <t>2098</t>
  </si>
  <si>
    <t>M710PRT2025054U00031</t>
  </si>
  <si>
    <t>M71000442</t>
  </si>
  <si>
    <t>A00900000442</t>
  </si>
  <si>
    <t>KPASSI YEBLE FLORENCE 05-46-85-00-20/01-40-34-31-84</t>
  </si>
  <si>
    <t>2083</t>
  </si>
  <si>
    <t>M710PRT2025054U00032</t>
  </si>
  <si>
    <t>M71000844</t>
  </si>
  <si>
    <t>A00900000844</t>
  </si>
  <si>
    <t>BOUBACAR SOFIANOU 01-41-35-48-81</t>
  </si>
  <si>
    <t>2088</t>
  </si>
  <si>
    <t>M710PRT2025055U00025</t>
  </si>
  <si>
    <t>M71000857</t>
  </si>
  <si>
    <t>A00900000857</t>
  </si>
  <si>
    <t>ATCHORY MEL YEBLE CHRISTINE 07-59-62-10-53</t>
  </si>
  <si>
    <t>1946</t>
  </si>
  <si>
    <t>M710PRT2025055U00027</t>
  </si>
  <si>
    <t>M71000905</t>
  </si>
  <si>
    <t>A00900000905</t>
  </si>
  <si>
    <t>DOZE LOU SIAMI GOMEZ 01-03-37-45-37</t>
  </si>
  <si>
    <t>2027</t>
  </si>
  <si>
    <t>M710PRT2025055U00028</t>
  </si>
  <si>
    <t>M71001244</t>
  </si>
  <si>
    <t>N'GUESSAN AMENAN GENDRES EPOUSE YAON 0708473676</t>
  </si>
  <si>
    <t>2056</t>
  </si>
  <si>
    <t>M710PRT2025055U00029</t>
  </si>
  <si>
    <t>M71001105</t>
  </si>
  <si>
    <t>HADJARA KARAMOKO EPOUSE FOFANA 0789671087</t>
  </si>
  <si>
    <t>2045</t>
  </si>
  <si>
    <t>M710PRT2025055U00030</t>
  </si>
  <si>
    <t>M71000330</t>
  </si>
  <si>
    <t>A00900000330</t>
  </si>
  <si>
    <t>KOFFI ADJA YEREBRO EPOUSE KOUADIO 09-03-68-89/02-23-01-39</t>
  </si>
  <si>
    <t>2041</t>
  </si>
  <si>
    <t>M710PRT2025055U00031</t>
  </si>
  <si>
    <t>M71000324</t>
  </si>
  <si>
    <t>A00900000324</t>
  </si>
  <si>
    <t>KADJATOU KONE EPOUSE YE 0747855045 0747855045</t>
  </si>
  <si>
    <t>2040</t>
  </si>
  <si>
    <t>M710PRT2025055U00032</t>
  </si>
  <si>
    <t>M71000230</t>
  </si>
  <si>
    <t>A00900000230</t>
  </si>
  <si>
    <t>GOLLY  BALET ROSALIE EPOUSE FLAN 07-05-75-07-03/62-58-45</t>
  </si>
  <si>
    <t>2058</t>
  </si>
  <si>
    <t>M710PRT2025055U00034</t>
  </si>
  <si>
    <t>M71000700</t>
  </si>
  <si>
    <t>A00900000700</t>
  </si>
  <si>
    <t>AMARI AGNIME LAOMIE EPOUSE ATTING 0141779668</t>
  </si>
  <si>
    <t>2043</t>
  </si>
  <si>
    <t>M710PRT2025055U00035</t>
  </si>
  <si>
    <t>M71000862</t>
  </si>
  <si>
    <t>A00900000862</t>
  </si>
  <si>
    <t>AFFIAN KOUAHO HABIB 0708723448</t>
  </si>
  <si>
    <t>2066</t>
  </si>
  <si>
    <t>M710PRT2025055U00037</t>
  </si>
  <si>
    <t>M71000839</t>
  </si>
  <si>
    <t>A00900000839</t>
  </si>
  <si>
    <t>GNAGNE AGNIME ROCHETTE 0546484946</t>
  </si>
  <si>
    <t>2065</t>
  </si>
  <si>
    <t>M710PRT2025055U00044</t>
  </si>
  <si>
    <t>M71000102</t>
  </si>
  <si>
    <t>A00900000102</t>
  </si>
  <si>
    <t>LASSIE GANON  LEONTINE 0747990462</t>
  </si>
  <si>
    <t>2060</t>
  </si>
  <si>
    <t>M710PRT2025055U00048</t>
  </si>
  <si>
    <t>M71000221</t>
  </si>
  <si>
    <t>A00900000221</t>
  </si>
  <si>
    <t>KEITA ADJARATOU 02-07-56-63-07/59-31-79</t>
  </si>
  <si>
    <t>2082</t>
  </si>
  <si>
    <t>M710PRT2025055U00049</t>
  </si>
  <si>
    <t>M71000006</t>
  </si>
  <si>
    <t>A00900000006</t>
  </si>
  <si>
    <t>AKPES AGNEI CLAIRE ÉPSE NIAGNE 40-34-57-81-46/88-29-59</t>
  </si>
  <si>
    <t>2076</t>
  </si>
  <si>
    <t>M710PRT2025055U00052</t>
  </si>
  <si>
    <t>M71001078</t>
  </si>
  <si>
    <t>TEHO EDOUKOU MARIE LAURE EPOUSE HAUHOUOT 0777098612</t>
  </si>
  <si>
    <t>2093</t>
  </si>
  <si>
    <t>M710PRT2025055U00053</t>
  </si>
  <si>
    <t>M71000829</t>
  </si>
  <si>
    <t>A00900000829</t>
  </si>
  <si>
    <t>WAHADE KAMORU AYINDE 01-03-11-00-30</t>
  </si>
  <si>
    <t>2087</t>
  </si>
  <si>
    <t>M710PRT2025055U00054</t>
  </si>
  <si>
    <t>M71000608</t>
  </si>
  <si>
    <t>A00900000608</t>
  </si>
  <si>
    <t>TOURE FATOU 0575493200</t>
  </si>
  <si>
    <t>2084</t>
  </si>
  <si>
    <t>M710PRT2025055U00055</t>
  </si>
  <si>
    <t>M71000939</t>
  </si>
  <si>
    <t>A00900000939</t>
  </si>
  <si>
    <t>GUEHE N`GUESSAN RACHELLE 05-44-90-99-05</t>
  </si>
  <si>
    <t>2090</t>
  </si>
  <si>
    <t>M710PRT2025055U00056</t>
  </si>
  <si>
    <t>M71000192</t>
  </si>
  <si>
    <t>A00900000192</t>
  </si>
  <si>
    <t xml:space="preserve">OUEDRAOGO MARIAME  </t>
  </si>
  <si>
    <t>2079</t>
  </si>
  <si>
    <t>M710PRT2025055U00058</t>
  </si>
  <si>
    <t>M71000932</t>
  </si>
  <si>
    <t>A00900000932</t>
  </si>
  <si>
    <t>KONE TENE 01-42-82-55-84/05-05-54-72-25</t>
  </si>
  <si>
    <t>2089</t>
  </si>
  <si>
    <t>M710PRT2025056U00034</t>
  </si>
  <si>
    <t>M71000205</t>
  </si>
  <si>
    <t>A00900000205</t>
  </si>
  <si>
    <t>COULBALY ADJARRA 47-89-81-65-46/89-77-38</t>
  </si>
  <si>
    <t>1902</t>
  </si>
  <si>
    <t>M710PRT2025056U00044</t>
  </si>
  <si>
    <t>M71001096</t>
  </si>
  <si>
    <t>KOUACOU BEYE M'GBIN ESTELLE EPOUSE YOUZAN 0747181448</t>
  </si>
  <si>
    <t>1912</t>
  </si>
  <si>
    <t>M710PRT2025056U00066</t>
  </si>
  <si>
    <t>M71001124</t>
  </si>
  <si>
    <t>OUEDRAOGO ALIZATA 0546247459</t>
  </si>
  <si>
    <t>1953</t>
  </si>
  <si>
    <t>M710PRT2025056U00079</t>
  </si>
  <si>
    <t>M71000795</t>
  </si>
  <si>
    <t>A00900000795</t>
  </si>
  <si>
    <t>ESMEL AKM JEANNE MIREILLE EPSE BECHE 07-08-20-98-35/_0-10-35-55-89</t>
  </si>
  <si>
    <t>1975</t>
  </si>
  <si>
    <t>M710PRT2025056U00090</t>
  </si>
  <si>
    <t>M71001155</t>
  </si>
  <si>
    <t>BINDE AGOA RACHEL 0555034051</t>
  </si>
  <si>
    <t>1986</t>
  </si>
  <si>
    <t>M710PRT2025056U00094</t>
  </si>
  <si>
    <t>M71001171</t>
  </si>
  <si>
    <t>OUATTARA MARIAM 0576749430</t>
  </si>
  <si>
    <t>2003</t>
  </si>
  <si>
    <t>M710PRT2025056U00103</t>
  </si>
  <si>
    <t>M71000597</t>
  </si>
  <si>
    <t>A00900000597</t>
  </si>
  <si>
    <t>TABSOBA MAMOUNATA 0709473937</t>
  </si>
  <si>
    <t>1991</t>
  </si>
  <si>
    <t>M710PRT2025056U00107</t>
  </si>
  <si>
    <t>M71001169</t>
  </si>
  <si>
    <t>TRAORE LADJI ABOUBACAR 0161210615</t>
  </si>
  <si>
    <t>2001</t>
  </si>
  <si>
    <t>M710PRT2025056U00112</t>
  </si>
  <si>
    <t>M71000177</t>
  </si>
  <si>
    <t>A00900000177</t>
  </si>
  <si>
    <t>MEMEL ESSANE MARIE CONSTANCE EPOUSE KONAN 0747808754</t>
  </si>
  <si>
    <t>2009</t>
  </si>
  <si>
    <t>M710PRT2025056U00113</t>
  </si>
  <si>
    <t>M71000881</t>
  </si>
  <si>
    <t>A00900000881</t>
  </si>
  <si>
    <t>ASSOCIATION DES FEMMES DYNAMIQUES D'ISRAEL DE SONGON</t>
  </si>
  <si>
    <t>2012</t>
  </si>
  <si>
    <t>M710PRT2025056U00114</t>
  </si>
  <si>
    <t>M71001179</t>
  </si>
  <si>
    <t>SONDE KALIDOU 0758234126</t>
  </si>
  <si>
    <t>2017</t>
  </si>
  <si>
    <t>M710PRT2025056U00115</t>
  </si>
  <si>
    <t>M71000807</t>
  </si>
  <si>
    <t>A00900000807</t>
  </si>
  <si>
    <t>GNAGNE AGNIME ROSINE 07-58-79-50-00/01-42-32-47-31</t>
  </si>
  <si>
    <t>2011</t>
  </si>
  <si>
    <t>M710PRT2025056U00116</t>
  </si>
  <si>
    <t>M71000914</t>
  </si>
  <si>
    <t>A00900000914</t>
  </si>
  <si>
    <t>FADIGA FATOUMATA 05-05-73-23-78</t>
  </si>
  <si>
    <t>2013</t>
  </si>
  <si>
    <t>M710PRT2025056U00117</t>
  </si>
  <si>
    <t>M71000272</t>
  </si>
  <si>
    <t>A00900000272</t>
  </si>
  <si>
    <t>GANSONRE FATOUMATA 07-43-21-05/02-11-91-30</t>
  </si>
  <si>
    <t>2010</t>
  </si>
  <si>
    <t>M710PRT2025056U00118</t>
  </si>
  <si>
    <t>M71001175</t>
  </si>
  <si>
    <t>N'GUESSAN N'GUESSAN  LEA 0715748303</t>
  </si>
  <si>
    <t>2014</t>
  </si>
  <si>
    <t>M710PRT2025056U00119</t>
  </si>
  <si>
    <t>M71001177</t>
  </si>
  <si>
    <t>LASME DJAYALY ADELE 0748597588</t>
  </si>
  <si>
    <t>2015</t>
  </si>
  <si>
    <t>M710PRT2025056U00120</t>
  </si>
  <si>
    <t>M71000150</t>
  </si>
  <si>
    <t>A00900000150</t>
  </si>
  <si>
    <t>N`GUESSAN AMENAN EDITH 07-09-86-71-03/01-41-67-26-75</t>
  </si>
  <si>
    <t>2008</t>
  </si>
  <si>
    <t>M710PRT2025056U00121</t>
  </si>
  <si>
    <t>M71001217</t>
  </si>
  <si>
    <t>KONAN AKLO MISSO HARMONIE 0789692672</t>
  </si>
  <si>
    <t>2037</t>
  </si>
  <si>
    <t>M710PRT2025056U00122</t>
  </si>
  <si>
    <t>M71001216</t>
  </si>
  <si>
    <t>TOHA TCHEMEHO ANITA 0708563602</t>
  </si>
  <si>
    <t>2036</t>
  </si>
  <si>
    <t>M710PRT2025056U00123</t>
  </si>
  <si>
    <t>M71000642</t>
  </si>
  <si>
    <t>A00900000642</t>
  </si>
  <si>
    <t>GUEBO GUSTAVE THIERRY 01-02-23-06-58</t>
  </si>
  <si>
    <t>2022</t>
  </si>
  <si>
    <t>M710PRT2025056U00124</t>
  </si>
  <si>
    <t>M71000658</t>
  </si>
  <si>
    <t>A00900000658</t>
  </si>
  <si>
    <t>TIEMO ABEL 07-77-10-01-92/01-50-44-90-82</t>
  </si>
  <si>
    <t>2024</t>
  </si>
  <si>
    <t>M710PRT2025056U00125</t>
  </si>
  <si>
    <t>M71000640</t>
  </si>
  <si>
    <t>A00900000640</t>
  </si>
  <si>
    <t>DIARRA KADIATOU 01-72-49-68-49</t>
  </si>
  <si>
    <t>2021</t>
  </si>
  <si>
    <t>M710PRT2025056U00126</t>
  </si>
  <si>
    <t>M71000794</t>
  </si>
  <si>
    <t>A00900000794</t>
  </si>
  <si>
    <t>TOKOU MEA NIANGORAN CYNTHIA ELISABETH 07-47-83-81-31/01-42-64-32-02</t>
  </si>
  <si>
    <t>2025</t>
  </si>
  <si>
    <t>M710PRT2025056U00127</t>
  </si>
  <si>
    <t>M71001167</t>
  </si>
  <si>
    <t>MADJALE GOUMA 0160355374</t>
  </si>
  <si>
    <t>2030</t>
  </si>
  <si>
    <t>M710PRT2025056U00130</t>
  </si>
  <si>
    <t>M71000066</t>
  </si>
  <si>
    <t>A00900000066</t>
  </si>
  <si>
    <t>KIENOU ALINE 05-44-77-96-62/05-05-20-76-35</t>
  </si>
  <si>
    <t>2018</t>
  </si>
  <si>
    <t>M710PRT2025056U00132</t>
  </si>
  <si>
    <t>M71000649</t>
  </si>
  <si>
    <t>A00900000649</t>
  </si>
  <si>
    <t>OUATTARA DEBILA AMINATA MARTHE 07-77-15-24-54/01-42-71-72-24</t>
  </si>
  <si>
    <t>2023</t>
  </si>
  <si>
    <t>M710PRT2025056U00133</t>
  </si>
  <si>
    <t>M71001182</t>
  </si>
  <si>
    <t>DJE LOU TRA ALPHONSINE 0152382062</t>
  </si>
  <si>
    <t>2031</t>
  </si>
  <si>
    <t>M710PRT2025056U00134</t>
  </si>
  <si>
    <t>M71000639</t>
  </si>
  <si>
    <t>A00900000639</t>
  </si>
  <si>
    <t>SONGNE BOUKARE 07-58-88-87-70</t>
  </si>
  <si>
    <t>2020</t>
  </si>
  <si>
    <t>M710PRT2025056U00135</t>
  </si>
  <si>
    <t>M71000834</t>
  </si>
  <si>
    <t>A00900000834</t>
  </si>
  <si>
    <t>YAPOGA MANZAN  EUGENIE 01-41-53-99-39</t>
  </si>
  <si>
    <t>2026</t>
  </si>
  <si>
    <t>M710PRT2025056U00136</t>
  </si>
  <si>
    <t>M71000173</t>
  </si>
  <si>
    <t>A00900000173</t>
  </si>
  <si>
    <t>TANOH CHRISTIANE AMA 44-19-20-03-05/64-98-38</t>
  </si>
  <si>
    <t>2019</t>
  </si>
  <si>
    <t>M710PRT2025056U00137</t>
  </si>
  <si>
    <t>M71001185</t>
  </si>
  <si>
    <t>KONAN AKISSI CATHERINE EPOUSE DJA 0748032642</t>
  </si>
  <si>
    <t>2032</t>
  </si>
  <si>
    <t>M710PRT2025056U00138</t>
  </si>
  <si>
    <t>M71001195</t>
  </si>
  <si>
    <t>KOMENAN AMENAN MICHELINE EPOUSE TAGRO 0504867088</t>
  </si>
  <si>
    <t>2035</t>
  </si>
  <si>
    <t>M710PRT2025056U00146</t>
  </si>
  <si>
    <t>M71001214</t>
  </si>
  <si>
    <t>BEDE ANIWA JULIE EPOUSE GNANGBO 0708016230</t>
  </si>
  <si>
    <t>2046</t>
  </si>
  <si>
    <t>M710PRT2025056U00149</t>
  </si>
  <si>
    <t>M71001242</t>
  </si>
  <si>
    <t>SAMAKE AISSATOU 0768574648</t>
  </si>
  <si>
    <t>2054</t>
  </si>
  <si>
    <t>M710PRT2025056U00158</t>
  </si>
  <si>
    <t>M71000062</t>
  </si>
  <si>
    <t>A00900000062</t>
  </si>
  <si>
    <t>ZOUANKOUAN MAMAN AUGUSTINE EPSE EBRAM 07-91-66-08</t>
  </si>
  <si>
    <t>2077</t>
  </si>
  <si>
    <t>M710PRT2025056U00159</t>
  </si>
  <si>
    <t>M71000149</t>
  </si>
  <si>
    <t>A00900000149</t>
  </si>
  <si>
    <t>SERY YOHOU PELAGIE EPSE KEITA 05-05-03-17-25/01-01-14-31-52</t>
  </si>
  <si>
    <t>2078</t>
  </si>
  <si>
    <t>M710PRT2025056U00162</t>
  </si>
  <si>
    <t>M71000724</t>
  </si>
  <si>
    <t>A00900000724</t>
  </si>
  <si>
    <t>GNAGNE AYCU MARIE ANGE 0140283754</t>
  </si>
  <si>
    <t>2086</t>
  </si>
  <si>
    <t>M710PRT2025056U00165</t>
  </si>
  <si>
    <t>M71001239</t>
  </si>
  <si>
    <t>MEL YOU MYGEVIE CENEVIEVE 0506541338</t>
  </si>
  <si>
    <t>2095</t>
  </si>
  <si>
    <t>M710PRT2026055U00001</t>
  </si>
  <si>
    <t>M71000421</t>
  </si>
  <si>
    <t>A00900000421</t>
  </si>
  <si>
    <t>TOURE NAZIATA 05-01-10-60-47/47-09-50</t>
  </si>
  <si>
    <t>2116</t>
  </si>
  <si>
    <t>M710PRT2026055U00002</t>
  </si>
  <si>
    <t>M71001265</t>
  </si>
  <si>
    <t>DE BEDI FIRMIN 0102778669</t>
  </si>
  <si>
    <t>2125</t>
  </si>
  <si>
    <t>M710PRT2026055U00003</t>
  </si>
  <si>
    <t>M71000647</t>
  </si>
  <si>
    <t>A00900000647</t>
  </si>
  <si>
    <t>SERECADO AYOU ADELINE SOLANGE 01-71-91-37-30</t>
  </si>
  <si>
    <t>2118</t>
  </si>
  <si>
    <t>M710PRT2026055U00004</t>
  </si>
  <si>
    <t>M71001258</t>
  </si>
  <si>
    <t>SONNE GEORGETTE 0799259267</t>
  </si>
  <si>
    <t>2124</t>
  </si>
  <si>
    <t>M710PRT2026055U00005</t>
  </si>
  <si>
    <t>M71001266</t>
  </si>
  <si>
    <t>SAVADOGO MINATA 0789539252</t>
  </si>
  <si>
    <t>2126</t>
  </si>
  <si>
    <t>M710PRT2026055U00006</t>
  </si>
  <si>
    <t>M71000731</t>
  </si>
  <si>
    <t>A00900000731</t>
  </si>
  <si>
    <t>SIDIBE SOULEYMANE 01-01-02-03-41</t>
  </si>
  <si>
    <t>2119</t>
  </si>
  <si>
    <t>M710PRT2026055U00007</t>
  </si>
  <si>
    <t>M71000461</t>
  </si>
  <si>
    <t>A00900000461</t>
  </si>
  <si>
    <t>SOH  AKOUA SANDRINE 07-57-85-04-39/01-40-45-13-78</t>
  </si>
  <si>
    <t>2117</t>
  </si>
  <si>
    <t>M710PRT2026055U00009</t>
  </si>
  <si>
    <t>M71000989</t>
  </si>
  <si>
    <t>A00900000989</t>
  </si>
  <si>
    <t>NITHAEL CONSTRUCTION</t>
  </si>
  <si>
    <t>2121</t>
  </si>
  <si>
    <t>M710PRT2026055U00011</t>
  </si>
  <si>
    <t>M71001247</t>
  </si>
  <si>
    <t>KOUAME AHOU MARIE JOSE 0555755385</t>
  </si>
  <si>
    <t>2123</t>
  </si>
  <si>
    <t>N°</t>
  </si>
  <si>
    <t>Agence</t>
  </si>
  <si>
    <t>Frais de gestion</t>
  </si>
  <si>
    <t>Montant versé</t>
  </si>
  <si>
    <t>Reste à payer</t>
  </si>
  <si>
    <t>Statut</t>
  </si>
  <si>
    <t>Réal Nbre</t>
  </si>
  <si>
    <t>% Nbre</t>
  </si>
  <si>
    <t>% Vol</t>
  </si>
  <si>
    <t>COMMENTAIRES</t>
  </si>
  <si>
    <t>Montant récupéré</t>
  </si>
  <si>
    <t>OBSERVATIONS</t>
  </si>
  <si>
    <t>OK</t>
  </si>
  <si>
    <t>NOK</t>
  </si>
  <si>
    <t>BONOUA</t>
  </si>
  <si>
    <t>ABOISSO</t>
  </si>
  <si>
    <t>BASSAM</t>
  </si>
  <si>
    <t>AGBOVILLE</t>
  </si>
  <si>
    <t>TIASSALE</t>
  </si>
  <si>
    <t>DIVO</t>
  </si>
  <si>
    <t>ADZOPE</t>
  </si>
  <si>
    <t>LAHOU</t>
  </si>
  <si>
    <t>DABOU</t>
  </si>
  <si>
    <t>TOTAL DABOU</t>
  </si>
  <si>
    <t>TOTAL GENERAL - GESTION DES REMBOURSEMENTS AGENCES</t>
  </si>
  <si>
    <t>TOTAL LAHOU</t>
  </si>
  <si>
    <t>TOTAL ADZOPE</t>
  </si>
  <si>
    <t>TOTAL DIVO</t>
  </si>
  <si>
    <t>TOTAL TIASSALE</t>
  </si>
  <si>
    <t>TOTAL AGBOVILLE</t>
  </si>
  <si>
    <t>TOTAL BASSAM</t>
  </si>
  <si>
    <t>TOTAL ABOISSO</t>
  </si>
  <si>
    <t>TOTAL BONOUA</t>
  </si>
  <si>
    <t>CODE</t>
  </si>
  <si>
    <t>AGENCE</t>
  </si>
  <si>
    <t>PREV</t>
  </si>
  <si>
    <t>REAL</t>
  </si>
  <si>
    <t>% NBRE</t>
  </si>
  <si>
    <t>GAP Nbre</t>
  </si>
  <si>
    <t>% VOL</t>
  </si>
  <si>
    <t>GAP Vol</t>
  </si>
  <si>
    <t>M100</t>
  </si>
  <si>
    <t>M200</t>
  </si>
  <si>
    <t>M300</t>
  </si>
  <si>
    <t>GRAND-BASSAM</t>
  </si>
  <si>
    <t>M400</t>
  </si>
  <si>
    <t>M500</t>
  </si>
  <si>
    <t>M510</t>
  </si>
  <si>
    <t>M600</t>
  </si>
  <si>
    <t>M700</t>
  </si>
  <si>
    <t>GRAND-LAHOU</t>
  </si>
  <si>
    <t>M710</t>
  </si>
  <si>
    <t>TOTAL</t>
  </si>
  <si>
    <t>Point anticipations au 04/03/2026</t>
  </si>
  <si>
    <t>GESTION DES REMBOURSEMENTS (Tombée Échéance du 05/03/2026)</t>
  </si>
  <si>
    <t>Agent de crédit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</si>
</sst>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rgb="FFFFD757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3" xfId="0" applyBorder="1"/>
    <xf numFmtId="14" fontId="0" fillId="0" borderId="3" xfId="0" applyNumberFormat="1" applyBorder="1"/>
    <xf numFmtId="164" fontId="0" fillId="0" borderId="3" xfId="1" applyNumberFormat="1" applyFont="1" applyBorder="1"/>
    <xf numFmtId="164" fontId="0" fillId="0" borderId="0" xfId="1" applyNumberFormat="1" applyFont="1"/>
    <xf numFmtId="0" fontId="4" fillId="0" borderId="3" xfId="0" applyFont="1" applyBorder="1"/>
    <xf numFmtId="0" fontId="4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164" fontId="3" fillId="2" borderId="3" xfId="1" applyNumberFormat="1" applyFont="1" applyFill="1" applyBorder="1" applyAlignment="1">
      <alignment horizontal="left" vertical="center"/>
    </xf>
    <xf numFmtId="164" fontId="6" fillId="2" borderId="0" xfId="1" applyNumberFormat="1" applyFont="1" applyFill="1" applyAlignment="1">
      <alignment horizontal="left" vertical="center"/>
    </xf>
    <xf numFmtId="164" fontId="4" fillId="2" borderId="0" xfId="1" applyNumberFormat="1" applyFont="1" applyFill="1" applyAlignment="1">
      <alignment horizontal="center" vertical="center"/>
    </xf>
    <xf numFmtId="10" fontId="6" fillId="3" borderId="4" xfId="2" applyNumberFormat="1" applyFont="1" applyFill="1" applyBorder="1" applyAlignment="1">
      <alignment horizontal="left" vertical="center"/>
    </xf>
    <xf numFmtId="10" fontId="4" fillId="2" borderId="5" xfId="2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/>
    <xf numFmtId="10" fontId="4" fillId="2" borderId="6" xfId="2" applyNumberFormat="1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0" xfId="2" applyNumberFormat="1" applyFont="1"/>
    <xf numFmtId="10" fontId="5" fillId="2" borderId="0" xfId="2" applyNumberFormat="1" applyFont="1" applyFill="1" applyBorder="1" applyAlignment="1">
      <alignment horizontal="left" vertical="center"/>
    </xf>
    <xf numFmtId="10" fontId="0" fillId="0" borderId="3" xfId="2" applyNumberFormat="1" applyFont="1" applyBorder="1"/>
    <xf numFmtId="9" fontId="0" fillId="0" borderId="3" xfId="2" applyFont="1" applyBorder="1"/>
    <xf numFmtId="0" fontId="4" fillId="2" borderId="7" xfId="0" applyFont="1" applyFill="1" applyBorder="1" applyAlignment="1">
      <alignment horizontal="center" vertical="center"/>
    </xf>
    <xf numFmtId="10" fontId="0" fillId="0" borderId="9" xfId="2" applyNumberFormat="1" applyFont="1" applyBorder="1"/>
    <xf numFmtId="10" fontId="7" fillId="0" borderId="8" xfId="2" applyNumberFormat="1" applyFont="1" applyBorder="1"/>
    <xf numFmtId="0" fontId="0" fillId="0" borderId="3" xfId="0" applyBorder="1" applyAlignment="1">
      <alignment horizontal="center"/>
    </xf>
    <xf numFmtId="10" fontId="8" fillId="0" borderId="8" xfId="2" applyNumberFormat="1" applyFont="1" applyBorder="1"/>
    <xf numFmtId="164" fontId="8" fillId="0" borderId="3" xfId="1" applyNumberFormat="1" applyFont="1" applyBorder="1"/>
    <xf numFmtId="164" fontId="9" fillId="0" borderId="3" xfId="1" applyNumberFormat="1" applyFont="1" applyBorder="1"/>
    <xf numFmtId="164" fontId="11" fillId="0" borderId="3" xfId="1" applyNumberFormat="1" applyFont="1" applyBorder="1"/>
    <xf numFmtId="0" fontId="12" fillId="5" borderId="0" xfId="0" applyFont="1" applyFill="1" applyAlignment="1">
      <alignment horizontal="center"/>
    </xf>
    <xf numFmtId="164" fontId="10" fillId="5" borderId="0" xfId="1" applyNumberFormat="1" applyFont="1" applyFill="1" applyBorder="1"/>
    <xf numFmtId="164" fontId="6" fillId="5" borderId="0" xfId="1" applyNumberFormat="1" applyFont="1" applyFill="1" applyBorder="1"/>
    <xf numFmtId="164" fontId="13" fillId="5" borderId="0" xfId="1" applyNumberFormat="1" applyFont="1" applyFill="1" applyBorder="1"/>
    <xf numFmtId="10" fontId="14" fillId="6" borderId="12" xfId="2" applyNumberFormat="1" applyFont="1" applyFill="1" applyBorder="1"/>
    <xf numFmtId="10" fontId="4" fillId="6" borderId="13" xfId="2" applyNumberFormat="1" applyFont="1" applyFill="1" applyBorder="1"/>
    <xf numFmtId="0" fontId="4" fillId="5" borderId="0" xfId="0" applyFont="1" applyFill="1"/>
    <xf numFmtId="164" fontId="15" fillId="7" borderId="0" xfId="1" applyNumberFormat="1" applyFont="1" applyFill="1" applyAlignment="1">
      <alignment horizontal="center" vertical="center"/>
    </xf>
    <xf numFmtId="10" fontId="16" fillId="3" borderId="14" xfId="2" applyNumberFormat="1" applyFont="1" applyFill="1" applyBorder="1"/>
    <xf numFmtId="10" fontId="16" fillId="4" borderId="15" xfId="2" applyNumberFormat="1" applyFont="1" applyFill="1" applyBorder="1"/>
    <xf numFmtId="0" fontId="15" fillId="7" borderId="0" xfId="0" applyFont="1" applyFill="1"/>
    <xf numFmtId="164" fontId="17" fillId="5" borderId="0" xfId="1" applyNumberFormat="1" applyFont="1" applyFill="1" applyBorder="1"/>
    <xf numFmtId="0" fontId="4" fillId="9" borderId="3" xfId="0" applyFont="1" applyFill="1" applyBorder="1"/>
    <xf numFmtId="0" fontId="4" fillId="9" borderId="2" xfId="0" applyFont="1" applyFill="1" applyBorder="1"/>
    <xf numFmtId="0" fontId="4" fillId="9" borderId="16" xfId="0" applyFont="1" applyFill="1" applyBorder="1"/>
    <xf numFmtId="0" fontId="4" fillId="9" borderId="17" xfId="0" applyFont="1" applyFill="1" applyBorder="1"/>
    <xf numFmtId="10" fontId="4" fillId="9" borderId="18" xfId="2" applyNumberFormat="1" applyFont="1" applyFill="1" applyBorder="1"/>
    <xf numFmtId="0" fontId="4" fillId="9" borderId="19" xfId="2" applyNumberFormat="1" applyFont="1" applyFill="1" applyBorder="1"/>
    <xf numFmtId="164" fontId="4" fillId="9" borderId="16" xfId="1" applyNumberFormat="1" applyFont="1" applyFill="1" applyBorder="1"/>
    <xf numFmtId="164" fontId="4" fillId="9" borderId="17" xfId="1" applyNumberFormat="1" applyFont="1" applyFill="1" applyBorder="1"/>
    <xf numFmtId="164" fontId="4" fillId="9" borderId="20" xfId="1" applyNumberFormat="1" applyFont="1" applyFill="1" applyBorder="1"/>
    <xf numFmtId="0" fontId="0" fillId="5" borderId="3" xfId="0" applyFill="1" applyBorder="1"/>
    <xf numFmtId="0" fontId="4" fillId="5" borderId="2" xfId="0" applyFont="1" applyFill="1" applyBorder="1"/>
    <xf numFmtId="0" fontId="18" fillId="6" borderId="8" xfId="0" applyFont="1" applyFill="1" applyBorder="1"/>
    <xf numFmtId="0" fontId="18" fillId="6" borderId="3" xfId="0" applyFont="1" applyFill="1" applyBorder="1"/>
    <xf numFmtId="10" fontId="4" fillId="10" borderId="9" xfId="2" applyNumberFormat="1" applyFont="1" applyFill="1" applyBorder="1"/>
    <xf numFmtId="0" fontId="2" fillId="11" borderId="1" xfId="2" applyNumberFormat="1" applyFont="1" applyFill="1" applyBorder="1"/>
    <xf numFmtId="164" fontId="18" fillId="6" borderId="8" xfId="1" applyNumberFormat="1" applyFont="1" applyFill="1" applyBorder="1"/>
    <xf numFmtId="164" fontId="18" fillId="6" borderId="3" xfId="1" applyNumberFormat="1" applyFont="1" applyFill="1" applyBorder="1"/>
    <xf numFmtId="164" fontId="19" fillId="11" borderId="2" xfId="1" applyNumberFormat="1" applyFont="1" applyFill="1" applyBorder="1"/>
    <xf numFmtId="0" fontId="4" fillId="9" borderId="22" xfId="0" applyFont="1" applyFill="1" applyBorder="1"/>
    <xf numFmtId="10" fontId="13" fillId="9" borderId="11" xfId="2" applyNumberFormat="1" applyFont="1" applyFill="1" applyBorder="1"/>
    <xf numFmtId="164" fontId="4" fillId="9" borderId="10" xfId="1" applyNumberFormat="1" applyFont="1" applyFill="1" applyBorder="1"/>
    <xf numFmtId="10" fontId="20" fillId="9" borderId="11" xfId="2" applyNumberFormat="1" applyFont="1" applyFill="1" applyBorder="1"/>
    <xf numFmtId="164" fontId="4" fillId="9" borderId="23" xfId="1" applyNumberFormat="1" applyFont="1" applyFill="1" applyBorder="1"/>
    <xf numFmtId="0" fontId="0" fillId="4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15" fillId="7" borderId="0" xfId="1" applyNumberFormat="1" applyFont="1" applyFill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HISTOGRAMME DES REALISATIONS AGENCES (TAUX D'ANTICIPATION EN</a:t>
            </a:r>
            <a:r>
              <a:rPr lang="en-US" baseline="0"/>
              <a:t> NOMBRE)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Récap!$D$25</c:f>
              <c:strCache>
                <c:ptCount val="1"/>
                <c:pt idx="0">
                  <c:v>% NBRE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Récap!$C$26:$C$34</c:f>
              <c:strCache>
                <c:ptCount val="9"/>
                <c:pt idx="0">
                  <c:v>BONOUA</c:v>
                </c:pt>
                <c:pt idx="1">
                  <c:v>ABOISSO</c:v>
                </c:pt>
                <c:pt idx="2">
                  <c:v>GRAND-BASSAM</c:v>
                </c:pt>
                <c:pt idx="3">
                  <c:v>AGBOVILLE</c:v>
                </c:pt>
                <c:pt idx="4">
                  <c:v>TIASSALE</c:v>
                </c:pt>
                <c:pt idx="5">
                  <c:v>DIVO</c:v>
                </c:pt>
                <c:pt idx="6">
                  <c:v>ADZOPE</c:v>
                </c:pt>
                <c:pt idx="7">
                  <c:v>GRAND-LAHOU</c:v>
                </c:pt>
                <c:pt idx="8">
                  <c:v>DABOU</c:v>
                </c:pt>
              </c:strCache>
            </c:strRef>
          </c:cat>
          <c:val>
            <c:numRef>
              <c:f>Récap!$D$26:$D$34</c:f>
              <c:numCache>
                <c:formatCode>0.00%</c:formatCode>
                <c:ptCount val="9"/>
                <c:pt idx="0">
                  <c:v>0.73109243697478987</c:v>
                </c:pt>
                <c:pt idx="1">
                  <c:v>0.77419354838709675</c:v>
                </c:pt>
                <c:pt idx="2">
                  <c:v>0.52941176470588236</c:v>
                </c:pt>
                <c:pt idx="3">
                  <c:v>0.75454545454545452</c:v>
                </c:pt>
                <c:pt idx="4">
                  <c:v>0.69784172661870503</c:v>
                </c:pt>
                <c:pt idx="5">
                  <c:v>0.64102564102564108</c:v>
                </c:pt>
                <c:pt idx="6">
                  <c:v>0.86486486486486491</c:v>
                </c:pt>
                <c:pt idx="7">
                  <c:v>0.77551020408163263</c:v>
                </c:pt>
                <c:pt idx="8">
                  <c:v>0.63157894736842102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4-4F3B-84BF-03309A38F0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268681280"/>
        <c:axId val="1268681760"/>
        <c:axId val="0"/>
      </c:bar3DChart>
      <c:catAx>
        <c:axId val="126868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8681760"/>
        <c:crosses val="autoZero"/>
        <c:auto val="1"/>
        <c:lblAlgn val="ctr"/>
        <c:lblOffset val="100"/>
        <c:noMultiLvlLbl val="0"/>
      </c:catAx>
      <c:valAx>
        <c:axId val="126868176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8681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19</xdr:row>
      <xdr:rowOff>12700</xdr:rowOff>
    </xdr:from>
    <xdr:to>
      <xdr:col>11</xdr:col>
      <xdr:colOff>19050</xdr:colOff>
      <xdr:row>39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1CB6FCE-7633-0B7B-7BCB-9AA7D7879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1B78-A59E-4A62-8C5F-0CE9A8B54CFA}">
  <dimension ref="B4:K34"/>
  <sheetViews>
    <sheetView topLeftCell="A12" workbookViewId="0">
      <selection activeCell="M43" sqref="M43"/>
    </sheetView>
  </sheetViews>
  <sheetFormatPr baseColWidth="10" defaultRowHeight="14.5" x14ac:dyDescent="0.35"/>
  <cols>
    <col min="3" max="3" width="16.54296875" customWidth="1"/>
    <col min="8" max="8" width="15.26953125" customWidth="1"/>
    <col min="9" max="9" width="14.26953125" customWidth="1"/>
  </cols>
  <sheetData>
    <row r="4" spans="2:11" x14ac:dyDescent="0.35">
      <c r="D4" s="69" t="s">
        <v>3656</v>
      </c>
      <c r="E4" s="69"/>
      <c r="F4" s="69"/>
      <c r="G4" s="69"/>
      <c r="H4" s="69"/>
      <c r="I4" s="69"/>
      <c r="J4" s="69"/>
      <c r="K4" s="69"/>
    </row>
    <row r="5" spans="2:11" ht="15" thickBot="1" x14ac:dyDescent="0.4">
      <c r="D5" s="70" t="s">
        <v>3657</v>
      </c>
      <c r="E5" s="70"/>
      <c r="F5" s="70"/>
      <c r="G5" s="70"/>
      <c r="H5" s="70"/>
      <c r="I5" s="70"/>
      <c r="J5" s="70"/>
      <c r="K5" s="70"/>
    </row>
    <row r="6" spans="2:11" x14ac:dyDescent="0.35">
      <c r="B6" s="46" t="s">
        <v>3636</v>
      </c>
      <c r="C6" s="47" t="s">
        <v>3637</v>
      </c>
      <c r="D6" s="48" t="s">
        <v>3638</v>
      </c>
      <c r="E6" s="49" t="s">
        <v>3639</v>
      </c>
      <c r="F6" s="50" t="s">
        <v>3640</v>
      </c>
      <c r="G6" s="51" t="s">
        <v>3641</v>
      </c>
      <c r="H6" s="52" t="s">
        <v>3638</v>
      </c>
      <c r="I6" s="53" t="s">
        <v>3639</v>
      </c>
      <c r="J6" s="50" t="s">
        <v>3642</v>
      </c>
      <c r="K6" s="54" t="s">
        <v>3643</v>
      </c>
    </row>
    <row r="7" spans="2:11" x14ac:dyDescent="0.35">
      <c r="B7" s="55" t="s">
        <v>3644</v>
      </c>
      <c r="C7" s="56" t="s">
        <v>3617</v>
      </c>
      <c r="D7" s="57">
        <f>'Listing tombées'!A122</f>
        <v>119</v>
      </c>
      <c r="E7" s="58">
        <f>'Listing tombées'!V122</f>
        <v>87</v>
      </c>
      <c r="F7" s="59">
        <f>E7/D7</f>
        <v>0.73109243697478987</v>
      </c>
      <c r="G7" s="60">
        <f>E7-D7</f>
        <v>-32</v>
      </c>
      <c r="H7" s="61">
        <f>'Listing tombées'!J122</f>
        <v>13247996</v>
      </c>
      <c r="I7" s="62">
        <f>'Listing tombées'!S122</f>
        <v>10690662</v>
      </c>
      <c r="J7" s="59">
        <f t="shared" ref="J7:J16" si="0">I7/H7</f>
        <v>0.80696446466318372</v>
      </c>
      <c r="K7" s="63">
        <f>I7-H7</f>
        <v>-2557334</v>
      </c>
    </row>
    <row r="8" spans="2:11" x14ac:dyDescent="0.35">
      <c r="B8" s="55" t="s">
        <v>3645</v>
      </c>
      <c r="C8" s="56" t="s">
        <v>3618</v>
      </c>
      <c r="D8" s="57">
        <f>'Listing tombées'!A154</f>
        <v>31</v>
      </c>
      <c r="E8" s="58">
        <f>'Listing tombées'!V154</f>
        <v>24</v>
      </c>
      <c r="F8" s="59">
        <f t="shared" ref="F8:F15" si="1">E8/D8</f>
        <v>0.77419354838709675</v>
      </c>
      <c r="G8" s="60">
        <f t="shared" ref="G8:G15" si="2">E8-D8</f>
        <v>-7</v>
      </c>
      <c r="H8" s="61">
        <f>'Listing tombées'!J154</f>
        <v>3415814</v>
      </c>
      <c r="I8" s="62">
        <f>'Listing tombées'!S154</f>
        <v>2956359</v>
      </c>
      <c r="J8" s="59">
        <f t="shared" si="0"/>
        <v>0.8654917978555039</v>
      </c>
      <c r="K8" s="63">
        <f t="shared" ref="K8:K15" si="3">I8-H8</f>
        <v>-459455</v>
      </c>
    </row>
    <row r="9" spans="2:11" x14ac:dyDescent="0.35">
      <c r="B9" s="55" t="s">
        <v>3646</v>
      </c>
      <c r="C9" s="56" t="s">
        <v>3647</v>
      </c>
      <c r="D9" s="57">
        <f>'Listing tombées'!A308</f>
        <v>153</v>
      </c>
      <c r="E9" s="58">
        <f>'Listing tombées'!V308</f>
        <v>81</v>
      </c>
      <c r="F9" s="59">
        <f t="shared" si="1"/>
        <v>0.52941176470588236</v>
      </c>
      <c r="G9" s="60">
        <f t="shared" si="2"/>
        <v>-72</v>
      </c>
      <c r="H9" s="61">
        <f>'Listing tombées'!J308</f>
        <v>26359627</v>
      </c>
      <c r="I9" s="62">
        <f>'Listing tombées'!S308</f>
        <v>14185773</v>
      </c>
      <c r="J9" s="59">
        <f t="shared" si="0"/>
        <v>0.53816288826848724</v>
      </c>
      <c r="K9" s="63">
        <f t="shared" si="3"/>
        <v>-12173854</v>
      </c>
    </row>
    <row r="10" spans="2:11" x14ac:dyDescent="0.35">
      <c r="B10" s="55" t="s">
        <v>3648</v>
      </c>
      <c r="C10" s="56" t="s">
        <v>3620</v>
      </c>
      <c r="D10" s="57">
        <f>'Listing tombées'!A419</f>
        <v>110</v>
      </c>
      <c r="E10" s="58">
        <f>'Listing tombées'!V419</f>
        <v>83</v>
      </c>
      <c r="F10" s="59">
        <f t="shared" si="1"/>
        <v>0.75454545454545452</v>
      </c>
      <c r="G10" s="60">
        <f t="shared" si="2"/>
        <v>-27</v>
      </c>
      <c r="H10" s="61">
        <f>'Listing tombées'!J419</f>
        <v>13053262</v>
      </c>
      <c r="I10" s="62">
        <f>'Listing tombées'!S419</f>
        <v>11081003</v>
      </c>
      <c r="J10" s="59">
        <f t="shared" si="0"/>
        <v>0.8489068096541692</v>
      </c>
      <c r="K10" s="63">
        <f t="shared" si="3"/>
        <v>-1972259</v>
      </c>
    </row>
    <row r="11" spans="2:11" x14ac:dyDescent="0.35">
      <c r="B11" s="55" t="s">
        <v>3649</v>
      </c>
      <c r="C11" s="56" t="s">
        <v>3621</v>
      </c>
      <c r="D11" s="57">
        <f>'Listing tombées'!A559</f>
        <v>139</v>
      </c>
      <c r="E11" s="58">
        <f>'Listing tombées'!V559</f>
        <v>97</v>
      </c>
      <c r="F11" s="59">
        <f t="shared" si="1"/>
        <v>0.69784172661870503</v>
      </c>
      <c r="G11" s="60">
        <f t="shared" si="2"/>
        <v>-42</v>
      </c>
      <c r="H11" s="61">
        <f>'Listing tombées'!J559</f>
        <v>10501270</v>
      </c>
      <c r="I11" s="62">
        <f>'Listing tombées'!S559</f>
        <v>8097605</v>
      </c>
      <c r="J11" s="59">
        <f t="shared" si="0"/>
        <v>0.77110720893758566</v>
      </c>
      <c r="K11" s="63">
        <f t="shared" si="3"/>
        <v>-2403665</v>
      </c>
    </row>
    <row r="12" spans="2:11" x14ac:dyDescent="0.35">
      <c r="B12" s="55" t="s">
        <v>3650</v>
      </c>
      <c r="C12" s="56" t="s">
        <v>3622</v>
      </c>
      <c r="D12" s="57">
        <f>'Listing tombées'!A599</f>
        <v>39</v>
      </c>
      <c r="E12" s="58">
        <f>'Listing tombées'!V599</f>
        <v>25</v>
      </c>
      <c r="F12" s="59">
        <f t="shared" si="1"/>
        <v>0.64102564102564108</v>
      </c>
      <c r="G12" s="60">
        <f t="shared" si="2"/>
        <v>-14</v>
      </c>
      <c r="H12" s="61">
        <f>'Listing tombées'!J599</f>
        <v>4417040</v>
      </c>
      <c r="I12" s="62">
        <f>'Listing tombées'!S599</f>
        <v>3839586</v>
      </c>
      <c r="J12" s="59">
        <f t="shared" si="0"/>
        <v>0.86926674877293386</v>
      </c>
      <c r="K12" s="63">
        <f t="shared" si="3"/>
        <v>-577454</v>
      </c>
    </row>
    <row r="13" spans="2:11" x14ac:dyDescent="0.35">
      <c r="B13" s="55" t="s">
        <v>3651</v>
      </c>
      <c r="C13" s="56" t="s">
        <v>3623</v>
      </c>
      <c r="D13" s="57">
        <f>'Listing tombées'!A674</f>
        <v>74</v>
      </c>
      <c r="E13" s="58">
        <f>'Listing tombées'!V674</f>
        <v>64</v>
      </c>
      <c r="F13" s="59">
        <f t="shared" si="1"/>
        <v>0.86486486486486491</v>
      </c>
      <c r="G13" s="60">
        <f t="shared" si="2"/>
        <v>-10</v>
      </c>
      <c r="H13" s="61">
        <f>'Listing tombées'!J674</f>
        <v>8838342</v>
      </c>
      <c r="I13" s="62">
        <f>'Listing tombées'!S674</f>
        <v>7890066</v>
      </c>
      <c r="J13" s="59">
        <f t="shared" si="0"/>
        <v>0.89270883611428475</v>
      </c>
      <c r="K13" s="63">
        <f t="shared" si="3"/>
        <v>-948276</v>
      </c>
    </row>
    <row r="14" spans="2:11" x14ac:dyDescent="0.35">
      <c r="B14" s="55" t="s">
        <v>3652</v>
      </c>
      <c r="C14" s="56" t="s">
        <v>3653</v>
      </c>
      <c r="D14" s="57">
        <f>'Listing tombées'!A724</f>
        <v>49</v>
      </c>
      <c r="E14" s="58">
        <f>'Listing tombées'!V724</f>
        <v>38</v>
      </c>
      <c r="F14" s="59">
        <f t="shared" si="1"/>
        <v>0.77551020408163263</v>
      </c>
      <c r="G14" s="60">
        <f t="shared" si="2"/>
        <v>-11</v>
      </c>
      <c r="H14" s="61">
        <f>'Listing tombées'!J724</f>
        <v>5111652</v>
      </c>
      <c r="I14" s="62">
        <f>'Listing tombées'!S724</f>
        <v>4431544</v>
      </c>
      <c r="J14" s="59">
        <f t="shared" si="0"/>
        <v>0.86694947152114421</v>
      </c>
      <c r="K14" s="63">
        <f t="shared" si="3"/>
        <v>-680108</v>
      </c>
    </row>
    <row r="15" spans="2:11" x14ac:dyDescent="0.35">
      <c r="B15" s="55" t="s">
        <v>3654</v>
      </c>
      <c r="C15" s="56" t="s">
        <v>3625</v>
      </c>
      <c r="D15" s="57">
        <f>'Listing tombées'!A801</f>
        <v>76</v>
      </c>
      <c r="E15" s="58">
        <f>'Listing tombées'!V801</f>
        <v>48</v>
      </c>
      <c r="F15" s="59">
        <f t="shared" si="1"/>
        <v>0.63157894736842102</v>
      </c>
      <c r="G15" s="60">
        <f t="shared" si="2"/>
        <v>-28</v>
      </c>
      <c r="H15" s="61">
        <f>'Listing tombées'!J801</f>
        <v>12911371</v>
      </c>
      <c r="I15" s="62">
        <f>'Listing tombées'!S801</f>
        <v>10308463</v>
      </c>
      <c r="J15" s="59">
        <f t="shared" si="0"/>
        <v>0.79840188931136746</v>
      </c>
      <c r="K15" s="63">
        <f t="shared" si="3"/>
        <v>-2602908</v>
      </c>
    </row>
    <row r="16" spans="2:11" ht="15" thickBot="1" x14ac:dyDescent="0.4">
      <c r="B16" s="71" t="s">
        <v>3655</v>
      </c>
      <c r="C16" s="72"/>
      <c r="D16" s="64">
        <f>SUM(D7:D15)</f>
        <v>790</v>
      </c>
      <c r="E16" s="64">
        <f>SUM(E7:E15)</f>
        <v>547</v>
      </c>
      <c r="F16" s="65">
        <f>E16/D16</f>
        <v>0.69240506329113927</v>
      </c>
      <c r="G16" s="66">
        <f>SUM(G7:G15)</f>
        <v>-243</v>
      </c>
      <c r="H16" s="66">
        <f>SUM(H7:H15)</f>
        <v>97856374</v>
      </c>
      <c r="I16" s="66">
        <f>SUM(I7:I15)</f>
        <v>73481061</v>
      </c>
      <c r="J16" s="67">
        <f t="shared" si="0"/>
        <v>0.7509072531136296</v>
      </c>
      <c r="K16" s="68">
        <f>SUM(K7:K15)</f>
        <v>-24375313</v>
      </c>
    </row>
    <row r="24" spans="3:4" ht="15" thickBot="1" x14ac:dyDescent="0.4"/>
    <row r="25" spans="3:4" x14ac:dyDescent="0.35">
      <c r="C25" s="47" t="s">
        <v>3637</v>
      </c>
      <c r="D25" s="50" t="s">
        <v>3640</v>
      </c>
    </row>
    <row r="26" spans="3:4" x14ac:dyDescent="0.35">
      <c r="C26" s="56" t="s">
        <v>3617</v>
      </c>
      <c r="D26" s="59">
        <v>0.73109243697478987</v>
      </c>
    </row>
    <row r="27" spans="3:4" x14ac:dyDescent="0.35">
      <c r="C27" s="56" t="s">
        <v>3618</v>
      </c>
      <c r="D27" s="59">
        <v>0.77419354838709675</v>
      </c>
    </row>
    <row r="28" spans="3:4" x14ac:dyDescent="0.35">
      <c r="C28" s="56" t="s">
        <v>3647</v>
      </c>
      <c r="D28" s="59">
        <v>0.52941176470588236</v>
      </c>
    </row>
    <row r="29" spans="3:4" x14ac:dyDescent="0.35">
      <c r="C29" s="56" t="s">
        <v>3620</v>
      </c>
      <c r="D29" s="59">
        <v>0.75454545454545452</v>
      </c>
    </row>
    <row r="30" spans="3:4" x14ac:dyDescent="0.35">
      <c r="C30" s="56" t="s">
        <v>3621</v>
      </c>
      <c r="D30" s="59">
        <v>0.69784172661870503</v>
      </c>
    </row>
    <row r="31" spans="3:4" x14ac:dyDescent="0.35">
      <c r="C31" s="56" t="s">
        <v>3622</v>
      </c>
      <c r="D31" s="59">
        <v>0.64102564102564108</v>
      </c>
    </row>
    <row r="32" spans="3:4" x14ac:dyDescent="0.35">
      <c r="C32" s="56" t="s">
        <v>3623</v>
      </c>
      <c r="D32" s="59">
        <v>0.86486486486486491</v>
      </c>
    </row>
    <row r="33" spans="3:4" x14ac:dyDescent="0.35">
      <c r="C33" s="56" t="s">
        <v>3653</v>
      </c>
      <c r="D33" s="59">
        <v>0.77551020408163263</v>
      </c>
    </row>
    <row r="34" spans="3:4" x14ac:dyDescent="0.35">
      <c r="C34" s="56" t="s">
        <v>3625</v>
      </c>
      <c r="D34" s="59">
        <v>0.63157894736842102</v>
      </c>
    </row>
  </sheetData>
  <mergeCells count="3">
    <mergeCell ref="D4:K4"/>
    <mergeCell ref="D5:K5"/>
    <mergeCell ref="B16:C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2"/>
  <sheetViews>
    <sheetView tabSelected="1" workbookViewId="0">
      <pane ySplit="2" topLeftCell="A135" activePane="bottomLeft" state="frozen"/>
      <selection activeCell="J1" sqref="J1"/>
      <selection pane="bottomLeft" activeCell="D151" sqref="D151"/>
    </sheetView>
  </sheetViews>
  <sheetFormatPr baseColWidth="10" defaultColWidth="8.7265625" defaultRowHeight="14.5" x14ac:dyDescent="0.35"/>
  <cols>
    <col min="1" max="1" width="8.7265625" style="15"/>
    <col min="2" max="3" width="17.54296875" customWidth="1"/>
    <col min="4" max="4" width="21.90625" customWidth="1"/>
    <col min="5" max="5" width="10.6328125" customWidth="1"/>
    <col min="6" max="6" width="13.08984375" customWidth="1"/>
    <col min="7" max="7" width="69" style="6" customWidth="1"/>
    <col min="8" max="8" width="19.453125" customWidth="1"/>
    <col min="9" max="9" width="10.453125" customWidth="1"/>
    <col min="10" max="12" width="17.1796875" style="4" customWidth="1"/>
    <col min="13" max="15" width="13.453125" style="4" customWidth="1"/>
    <col min="16" max="16" width="7.7265625" customWidth="1"/>
    <col min="17" max="17" width="15.90625" style="4" customWidth="1"/>
    <col min="18" max="18" width="8.7265625" style="22" hidden="1" customWidth="1"/>
    <col min="19" max="20" width="16.90625" style="4" customWidth="1"/>
    <col min="23" max="24" width="8.7265625" style="22"/>
    <col min="25" max="25" width="13.08984375" customWidth="1"/>
    <col min="26" max="26" width="43.54296875" customWidth="1"/>
  </cols>
  <sheetData>
    <row r="1" spans="1:26" ht="15" thickBot="1" x14ac:dyDescent="0.4">
      <c r="Y1" s="74" t="s">
        <v>3612</v>
      </c>
      <c r="Z1" s="75"/>
    </row>
    <row r="2" spans="1:26" s="14" customFormat="1" x14ac:dyDescent="0.35">
      <c r="A2" s="7" t="s">
        <v>3603</v>
      </c>
      <c r="B2" s="8" t="s">
        <v>3604</v>
      </c>
      <c r="C2" s="8" t="s">
        <v>3658</v>
      </c>
      <c r="D2" s="8" t="s">
        <v>0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9" t="s">
        <v>6</v>
      </c>
      <c r="K2" s="9" t="s">
        <v>7</v>
      </c>
      <c r="L2" s="9" t="s">
        <v>8</v>
      </c>
      <c r="M2" s="9" t="s">
        <v>9</v>
      </c>
      <c r="N2" s="9" t="s">
        <v>3605</v>
      </c>
      <c r="O2" s="9" t="s">
        <v>10</v>
      </c>
      <c r="P2" s="9" t="s">
        <v>11</v>
      </c>
      <c r="Q2" s="9" t="s">
        <v>12</v>
      </c>
      <c r="R2" s="23"/>
      <c r="S2" s="10" t="s">
        <v>3606</v>
      </c>
      <c r="T2" s="10" t="s">
        <v>3607</v>
      </c>
      <c r="U2" s="11" t="s">
        <v>3608</v>
      </c>
      <c r="V2" s="11" t="s">
        <v>3609</v>
      </c>
      <c r="W2" s="12" t="s">
        <v>3610</v>
      </c>
      <c r="X2" s="13" t="s">
        <v>3611</v>
      </c>
      <c r="Y2" s="17" t="s">
        <v>3613</v>
      </c>
      <c r="Z2" s="26" t="s">
        <v>3614</v>
      </c>
    </row>
    <row r="3" spans="1:26" x14ac:dyDescent="0.35">
      <c r="A3" s="29">
        <v>1</v>
      </c>
      <c r="B3" s="1" t="s">
        <v>3617</v>
      </c>
      <c r="C3" s="1"/>
      <c r="D3" s="1" t="s">
        <v>166</v>
      </c>
      <c r="E3" s="1" t="s">
        <v>167</v>
      </c>
      <c r="F3" s="1" t="s">
        <v>168</v>
      </c>
      <c r="G3" s="5" t="s">
        <v>169</v>
      </c>
      <c r="H3" s="1" t="s">
        <v>17</v>
      </c>
      <c r="I3" s="2">
        <v>46086</v>
      </c>
      <c r="J3" s="33">
        <f t="shared" ref="J3:J34" si="0">SUM(K3:O3)</f>
        <v>173672</v>
      </c>
      <c r="K3" s="3">
        <v>34521</v>
      </c>
      <c r="L3" s="3">
        <v>124993</v>
      </c>
      <c r="M3" s="3">
        <v>13158</v>
      </c>
      <c r="N3" s="3">
        <v>0</v>
      </c>
      <c r="O3" s="3">
        <v>1000</v>
      </c>
      <c r="P3" s="1" t="s">
        <v>170</v>
      </c>
      <c r="Q3" s="3">
        <v>315016</v>
      </c>
      <c r="R3" s="25">
        <f t="shared" ref="R3:R34" si="1">Q3/J3</f>
        <v>1.813856004422129</v>
      </c>
      <c r="S3" s="32">
        <f t="shared" ref="S3:S8" si="2">J3</f>
        <v>173672</v>
      </c>
      <c r="T3" s="3">
        <f t="shared" ref="T3:T34" si="3">S3-J3</f>
        <v>0</v>
      </c>
      <c r="U3" s="1" t="s">
        <v>3615</v>
      </c>
      <c r="V3" s="16">
        <v>1</v>
      </c>
      <c r="W3" s="28">
        <f t="shared" ref="W3:W66" si="4">V3/A3</f>
        <v>1</v>
      </c>
      <c r="X3" s="27">
        <f t="shared" ref="X3:X34" si="5">S3/J3</f>
        <v>1</v>
      </c>
      <c r="Y3" s="18"/>
      <c r="Z3" s="19"/>
    </row>
    <row r="4" spans="1:26" x14ac:dyDescent="0.35">
      <c r="A4" s="29">
        <v>1</v>
      </c>
      <c r="B4" s="1" t="s">
        <v>3617</v>
      </c>
      <c r="C4" s="1"/>
      <c r="D4" s="1" t="s">
        <v>417</v>
      </c>
      <c r="E4" s="1" t="s">
        <v>418</v>
      </c>
      <c r="F4" s="1" t="s">
        <v>419</v>
      </c>
      <c r="G4" s="5" t="s">
        <v>420</v>
      </c>
      <c r="H4" s="1" t="s">
        <v>17</v>
      </c>
      <c r="I4" s="2">
        <v>46086</v>
      </c>
      <c r="J4" s="33">
        <f t="shared" si="0"/>
        <v>101013</v>
      </c>
      <c r="K4" s="3">
        <v>8517</v>
      </c>
      <c r="L4" s="3">
        <v>83163</v>
      </c>
      <c r="M4" s="3">
        <v>8333</v>
      </c>
      <c r="N4" s="3">
        <v>0</v>
      </c>
      <c r="O4" s="3">
        <v>1000</v>
      </c>
      <c r="P4" s="1" t="s">
        <v>421</v>
      </c>
      <c r="Q4" s="3">
        <v>215970</v>
      </c>
      <c r="R4" s="25">
        <f t="shared" si="1"/>
        <v>2.1380416382049834</v>
      </c>
      <c r="S4" s="32">
        <f t="shared" si="2"/>
        <v>101013</v>
      </c>
      <c r="T4" s="3">
        <f t="shared" si="3"/>
        <v>0</v>
      </c>
      <c r="U4" s="1" t="s">
        <v>3615</v>
      </c>
      <c r="V4" s="16">
        <v>1</v>
      </c>
      <c r="W4" s="28">
        <f t="shared" si="4"/>
        <v>1</v>
      </c>
      <c r="X4" s="27">
        <f t="shared" si="5"/>
        <v>1</v>
      </c>
      <c r="Y4" s="18"/>
      <c r="Z4" s="19"/>
    </row>
    <row r="5" spans="1:26" x14ac:dyDescent="0.35">
      <c r="A5" s="29">
        <v>1</v>
      </c>
      <c r="B5" s="1" t="s">
        <v>3617</v>
      </c>
      <c r="C5" s="1"/>
      <c r="D5" s="1" t="s">
        <v>269</v>
      </c>
      <c r="E5" s="1" t="s">
        <v>270</v>
      </c>
      <c r="F5" s="1" t="s">
        <v>271</v>
      </c>
      <c r="G5" s="5" t="s">
        <v>272</v>
      </c>
      <c r="H5" s="1" t="s">
        <v>17</v>
      </c>
      <c r="I5" s="2">
        <v>46086</v>
      </c>
      <c r="J5" s="33">
        <f t="shared" si="0"/>
        <v>70362</v>
      </c>
      <c r="K5" s="3">
        <v>13281</v>
      </c>
      <c r="L5" s="3">
        <v>50525</v>
      </c>
      <c r="M5" s="3">
        <v>5556</v>
      </c>
      <c r="N5" s="3">
        <v>0</v>
      </c>
      <c r="O5" s="3">
        <v>1000</v>
      </c>
      <c r="P5" s="1" t="s">
        <v>273</v>
      </c>
      <c r="Q5" s="3">
        <v>232294</v>
      </c>
      <c r="R5" s="25">
        <f t="shared" si="1"/>
        <v>3.3014126943520652</v>
      </c>
      <c r="S5" s="32">
        <f t="shared" si="2"/>
        <v>70362</v>
      </c>
      <c r="T5" s="3">
        <f t="shared" si="3"/>
        <v>0</v>
      </c>
      <c r="U5" s="1" t="s">
        <v>3615</v>
      </c>
      <c r="V5" s="16">
        <v>1</v>
      </c>
      <c r="W5" s="28">
        <f t="shared" si="4"/>
        <v>1</v>
      </c>
      <c r="X5" s="27">
        <f t="shared" si="5"/>
        <v>1</v>
      </c>
      <c r="Y5" s="18"/>
      <c r="Z5" s="19"/>
    </row>
    <row r="6" spans="1:26" x14ac:dyDescent="0.35">
      <c r="A6" s="29">
        <v>1</v>
      </c>
      <c r="B6" s="1" t="s">
        <v>3617</v>
      </c>
      <c r="C6" s="1"/>
      <c r="D6" s="1" t="s">
        <v>190</v>
      </c>
      <c r="E6" s="1" t="s">
        <v>191</v>
      </c>
      <c r="F6" s="1" t="s">
        <v>192</v>
      </c>
      <c r="G6" s="5" t="s">
        <v>193</v>
      </c>
      <c r="H6" s="1" t="s">
        <v>17</v>
      </c>
      <c r="I6" s="2">
        <v>46086</v>
      </c>
      <c r="J6" s="33">
        <f t="shared" si="0"/>
        <v>70362</v>
      </c>
      <c r="K6" s="3">
        <v>20219</v>
      </c>
      <c r="L6" s="3">
        <v>43587</v>
      </c>
      <c r="M6" s="3">
        <v>5556</v>
      </c>
      <c r="N6" s="3">
        <v>0</v>
      </c>
      <c r="O6" s="3">
        <v>1000</v>
      </c>
      <c r="P6" s="1" t="s">
        <v>194</v>
      </c>
      <c r="Q6" s="3">
        <v>94767</v>
      </c>
      <c r="R6" s="25">
        <f t="shared" si="1"/>
        <v>1.3468491515306558</v>
      </c>
      <c r="S6" s="32">
        <f t="shared" si="2"/>
        <v>70362</v>
      </c>
      <c r="T6" s="3">
        <f t="shared" si="3"/>
        <v>0</v>
      </c>
      <c r="U6" s="1" t="s">
        <v>3615</v>
      </c>
      <c r="V6" s="16">
        <v>1</v>
      </c>
      <c r="W6" s="28">
        <f t="shared" si="4"/>
        <v>1</v>
      </c>
      <c r="X6" s="27">
        <f t="shared" si="5"/>
        <v>1</v>
      </c>
      <c r="Y6" s="18"/>
      <c r="Z6" s="19"/>
    </row>
    <row r="7" spans="1:26" x14ac:dyDescent="0.35">
      <c r="A7" s="29">
        <v>1</v>
      </c>
      <c r="B7" s="1" t="s">
        <v>3617</v>
      </c>
      <c r="C7" s="1"/>
      <c r="D7" s="1" t="s">
        <v>530</v>
      </c>
      <c r="E7" s="1" t="s">
        <v>531</v>
      </c>
      <c r="F7" s="1" t="s">
        <v>532</v>
      </c>
      <c r="G7" s="5" t="s">
        <v>533</v>
      </c>
      <c r="H7" s="1" t="s">
        <v>17</v>
      </c>
      <c r="I7" s="2">
        <v>46086</v>
      </c>
      <c r="J7" s="33">
        <f t="shared" si="0"/>
        <v>139723</v>
      </c>
      <c r="K7" s="3">
        <v>40438</v>
      </c>
      <c r="L7" s="3">
        <v>87174</v>
      </c>
      <c r="M7" s="3">
        <v>11111</v>
      </c>
      <c r="N7" s="3">
        <v>0</v>
      </c>
      <c r="O7" s="3">
        <v>1000</v>
      </c>
      <c r="P7" s="1" t="s">
        <v>534</v>
      </c>
      <c r="Q7" s="3">
        <v>271205</v>
      </c>
      <c r="R7" s="25">
        <f t="shared" si="1"/>
        <v>1.9410190161963312</v>
      </c>
      <c r="S7" s="32">
        <f t="shared" si="2"/>
        <v>139723</v>
      </c>
      <c r="T7" s="3">
        <f t="shared" si="3"/>
        <v>0</v>
      </c>
      <c r="U7" s="1" t="s">
        <v>3615</v>
      </c>
      <c r="V7" s="16">
        <v>1</v>
      </c>
      <c r="W7" s="28">
        <f t="shared" si="4"/>
        <v>1</v>
      </c>
      <c r="X7" s="27">
        <f t="shared" si="5"/>
        <v>1</v>
      </c>
      <c r="Y7" s="18"/>
      <c r="Z7" s="19"/>
    </row>
    <row r="8" spans="1:26" x14ac:dyDescent="0.35">
      <c r="A8" s="29">
        <v>1</v>
      </c>
      <c r="B8" s="1" t="s">
        <v>3617</v>
      </c>
      <c r="C8" s="1"/>
      <c r="D8" s="1" t="s">
        <v>171</v>
      </c>
      <c r="E8" s="1" t="s">
        <v>172</v>
      </c>
      <c r="F8" s="1" t="s">
        <v>173</v>
      </c>
      <c r="G8" s="5" t="s">
        <v>174</v>
      </c>
      <c r="H8" s="1" t="s">
        <v>17</v>
      </c>
      <c r="I8" s="2">
        <v>46086</v>
      </c>
      <c r="J8" s="33">
        <f t="shared" si="0"/>
        <v>105042</v>
      </c>
      <c r="K8" s="3">
        <v>19963</v>
      </c>
      <c r="L8" s="3">
        <v>75746</v>
      </c>
      <c r="M8" s="3">
        <v>8333</v>
      </c>
      <c r="N8" s="3">
        <v>0</v>
      </c>
      <c r="O8" s="3">
        <v>1000</v>
      </c>
      <c r="P8" s="1" t="s">
        <v>175</v>
      </c>
      <c r="Q8" s="3">
        <v>235403</v>
      </c>
      <c r="R8" s="25">
        <f t="shared" si="1"/>
        <v>2.2410369185659071</v>
      </c>
      <c r="S8" s="32">
        <f t="shared" si="2"/>
        <v>105042</v>
      </c>
      <c r="T8" s="3">
        <f t="shared" si="3"/>
        <v>0</v>
      </c>
      <c r="U8" s="1" t="s">
        <v>3615</v>
      </c>
      <c r="V8" s="16">
        <v>1</v>
      </c>
      <c r="W8" s="28">
        <f t="shared" si="4"/>
        <v>1</v>
      </c>
      <c r="X8" s="27">
        <f t="shared" si="5"/>
        <v>1</v>
      </c>
      <c r="Y8" s="18"/>
      <c r="Z8" s="19"/>
    </row>
    <row r="9" spans="1:26" x14ac:dyDescent="0.35">
      <c r="A9" s="29">
        <v>1</v>
      </c>
      <c r="B9" s="1" t="s">
        <v>3617</v>
      </c>
      <c r="C9" s="1"/>
      <c r="D9" s="1" t="s">
        <v>264</v>
      </c>
      <c r="E9" s="1" t="s">
        <v>265</v>
      </c>
      <c r="F9" s="1" t="s">
        <v>266</v>
      </c>
      <c r="G9" s="5" t="s">
        <v>267</v>
      </c>
      <c r="H9" s="1" t="s">
        <v>32</v>
      </c>
      <c r="I9" s="2">
        <v>46086</v>
      </c>
      <c r="J9" s="33">
        <f t="shared" si="0"/>
        <v>100372</v>
      </c>
      <c r="K9" s="3">
        <v>13808</v>
      </c>
      <c r="L9" s="3">
        <v>77872</v>
      </c>
      <c r="M9" s="3">
        <v>7692</v>
      </c>
      <c r="N9" s="3">
        <v>0</v>
      </c>
      <c r="O9" s="3">
        <v>1000</v>
      </c>
      <c r="P9" s="1" t="s">
        <v>268</v>
      </c>
      <c r="Q9" s="3">
        <v>38765</v>
      </c>
      <c r="R9" s="25">
        <f t="shared" si="1"/>
        <v>0.38621328657394494</v>
      </c>
      <c r="S9" s="32">
        <f>Q9</f>
        <v>38765</v>
      </c>
      <c r="T9" s="31">
        <f t="shared" si="3"/>
        <v>-61607</v>
      </c>
      <c r="U9" s="1" t="s">
        <v>3616</v>
      </c>
      <c r="V9" s="16"/>
      <c r="W9" s="30">
        <f t="shared" si="4"/>
        <v>0</v>
      </c>
      <c r="X9" s="27">
        <f t="shared" si="5"/>
        <v>0.38621328657394494</v>
      </c>
      <c r="Y9" s="18"/>
      <c r="Z9" s="19"/>
    </row>
    <row r="10" spans="1:26" x14ac:dyDescent="0.35">
      <c r="A10" s="29">
        <v>1</v>
      </c>
      <c r="B10" s="1" t="s">
        <v>3617</v>
      </c>
      <c r="C10" s="1"/>
      <c r="D10" s="1" t="s">
        <v>176</v>
      </c>
      <c r="E10" s="1" t="s">
        <v>177</v>
      </c>
      <c r="F10" s="1" t="s">
        <v>178</v>
      </c>
      <c r="G10" s="5" t="s">
        <v>179</v>
      </c>
      <c r="H10" s="1" t="s">
        <v>17</v>
      </c>
      <c r="I10" s="2">
        <v>46086</v>
      </c>
      <c r="J10" s="33">
        <f t="shared" si="0"/>
        <v>150058</v>
      </c>
      <c r="K10" s="3">
        <v>20712</v>
      </c>
      <c r="L10" s="3">
        <v>116808</v>
      </c>
      <c r="M10" s="3">
        <v>11538</v>
      </c>
      <c r="N10" s="3">
        <v>0</v>
      </c>
      <c r="O10" s="3">
        <v>1000</v>
      </c>
      <c r="P10" s="1" t="s">
        <v>180</v>
      </c>
      <c r="Q10" s="3">
        <v>73022</v>
      </c>
      <c r="R10" s="25">
        <f t="shared" si="1"/>
        <v>0.48662517160031454</v>
      </c>
      <c r="S10" s="32">
        <f>Q10</f>
        <v>73022</v>
      </c>
      <c r="T10" s="31">
        <f t="shared" si="3"/>
        <v>-77036</v>
      </c>
      <c r="U10" s="1" t="s">
        <v>3616</v>
      </c>
      <c r="V10" s="16"/>
      <c r="W10" s="30">
        <f t="shared" si="4"/>
        <v>0</v>
      </c>
      <c r="X10" s="27">
        <f t="shared" si="5"/>
        <v>0.48662517160031454</v>
      </c>
      <c r="Y10" s="18"/>
      <c r="Z10" s="19"/>
    </row>
    <row r="11" spans="1:26" x14ac:dyDescent="0.35">
      <c r="A11" s="29">
        <v>1</v>
      </c>
      <c r="B11" s="1" t="s">
        <v>3617</v>
      </c>
      <c r="C11" s="1"/>
      <c r="D11" s="1" t="s">
        <v>469</v>
      </c>
      <c r="E11" s="1" t="s">
        <v>470</v>
      </c>
      <c r="F11" s="1" t="s">
        <v>471</v>
      </c>
      <c r="G11" s="5" t="s">
        <v>472</v>
      </c>
      <c r="H11" s="1" t="s">
        <v>17</v>
      </c>
      <c r="I11" s="2">
        <v>46086</v>
      </c>
      <c r="J11" s="33">
        <f t="shared" si="0"/>
        <v>201027</v>
      </c>
      <c r="K11" s="3">
        <v>21471</v>
      </c>
      <c r="L11" s="3">
        <v>161889</v>
      </c>
      <c r="M11" s="3">
        <v>16667</v>
      </c>
      <c r="N11" s="3">
        <v>0</v>
      </c>
      <c r="O11" s="3">
        <v>1000</v>
      </c>
      <c r="P11" s="1" t="s">
        <v>473</v>
      </c>
      <c r="Q11" s="3">
        <v>314351</v>
      </c>
      <c r="R11" s="25">
        <f t="shared" si="1"/>
        <v>1.5637252707347769</v>
      </c>
      <c r="S11" s="32">
        <f>J11</f>
        <v>201027</v>
      </c>
      <c r="T11" s="3">
        <f t="shared" si="3"/>
        <v>0</v>
      </c>
      <c r="U11" s="1" t="s">
        <v>3615</v>
      </c>
      <c r="V11" s="16">
        <v>1</v>
      </c>
      <c r="W11" s="28">
        <f t="shared" si="4"/>
        <v>1</v>
      </c>
      <c r="X11" s="27">
        <f t="shared" si="5"/>
        <v>1</v>
      </c>
      <c r="Y11" s="18"/>
      <c r="Z11" s="19"/>
    </row>
    <row r="12" spans="1:26" x14ac:dyDescent="0.35">
      <c r="A12" s="29">
        <v>1</v>
      </c>
      <c r="B12" s="1" t="s">
        <v>3617</v>
      </c>
      <c r="C12" s="1"/>
      <c r="D12" s="1" t="s">
        <v>339</v>
      </c>
      <c r="E12" s="1" t="s">
        <v>340</v>
      </c>
      <c r="F12" s="1" t="s">
        <v>341</v>
      </c>
      <c r="G12" s="5" t="s">
        <v>342</v>
      </c>
      <c r="H12" s="1" t="s">
        <v>17</v>
      </c>
      <c r="I12" s="2">
        <v>46086</v>
      </c>
      <c r="J12" s="33">
        <f t="shared" si="0"/>
        <v>82611</v>
      </c>
      <c r="K12" s="3">
        <v>12217</v>
      </c>
      <c r="L12" s="3">
        <v>62727</v>
      </c>
      <c r="M12" s="3">
        <v>6667</v>
      </c>
      <c r="N12" s="3">
        <v>0</v>
      </c>
      <c r="O12" s="3">
        <v>1000</v>
      </c>
      <c r="P12" s="1" t="s">
        <v>343</v>
      </c>
      <c r="Q12" s="3">
        <v>237369</v>
      </c>
      <c r="R12" s="25">
        <f t="shared" si="1"/>
        <v>2.873334059628863</v>
      </c>
      <c r="S12" s="32">
        <f>J12</f>
        <v>82611</v>
      </c>
      <c r="T12" s="3">
        <f t="shared" si="3"/>
        <v>0</v>
      </c>
      <c r="U12" s="1" t="s">
        <v>3615</v>
      </c>
      <c r="V12" s="16">
        <v>1</v>
      </c>
      <c r="W12" s="28">
        <f t="shared" si="4"/>
        <v>1</v>
      </c>
      <c r="X12" s="27">
        <f t="shared" si="5"/>
        <v>1</v>
      </c>
      <c r="Y12" s="18"/>
      <c r="Z12" s="19"/>
    </row>
    <row r="13" spans="1:26" x14ac:dyDescent="0.35">
      <c r="A13" s="29">
        <v>1</v>
      </c>
      <c r="B13" s="1" t="s">
        <v>3617</v>
      </c>
      <c r="C13" s="1"/>
      <c r="D13" s="1" t="s">
        <v>195</v>
      </c>
      <c r="E13" s="1" t="s">
        <v>196</v>
      </c>
      <c r="F13" s="1" t="s">
        <v>197</v>
      </c>
      <c r="G13" s="5" t="s">
        <v>198</v>
      </c>
      <c r="H13" s="1" t="s">
        <v>32</v>
      </c>
      <c r="I13" s="2">
        <v>46086</v>
      </c>
      <c r="J13" s="33">
        <f t="shared" si="0"/>
        <v>278445</v>
      </c>
      <c r="K13" s="3">
        <v>26449</v>
      </c>
      <c r="L13" s="3">
        <v>228774</v>
      </c>
      <c r="M13" s="3">
        <v>22222</v>
      </c>
      <c r="N13" s="3">
        <v>0</v>
      </c>
      <c r="O13" s="3">
        <v>1000</v>
      </c>
      <c r="P13" s="1" t="s">
        <v>199</v>
      </c>
      <c r="Q13" s="3">
        <v>51232</v>
      </c>
      <c r="R13" s="25">
        <f t="shared" si="1"/>
        <v>0.1839932482177809</v>
      </c>
      <c r="S13" s="32">
        <f>Q13</f>
        <v>51232</v>
      </c>
      <c r="T13" s="31">
        <f t="shared" si="3"/>
        <v>-227213</v>
      </c>
      <c r="U13" s="1" t="s">
        <v>3616</v>
      </c>
      <c r="V13" s="16"/>
      <c r="W13" s="30">
        <f t="shared" si="4"/>
        <v>0</v>
      </c>
      <c r="X13" s="27">
        <f t="shared" si="5"/>
        <v>0.1839932482177809</v>
      </c>
      <c r="Y13" s="18"/>
      <c r="Z13" s="19"/>
    </row>
    <row r="14" spans="1:26" x14ac:dyDescent="0.35">
      <c r="A14" s="29">
        <v>1</v>
      </c>
      <c r="B14" s="1" t="s">
        <v>3617</v>
      </c>
      <c r="C14" s="1"/>
      <c r="D14" s="1" t="s">
        <v>379</v>
      </c>
      <c r="E14" s="1" t="s">
        <v>380</v>
      </c>
      <c r="F14" s="1" t="s">
        <v>381</v>
      </c>
      <c r="G14" s="5" t="s">
        <v>382</v>
      </c>
      <c r="H14" s="1" t="s">
        <v>17</v>
      </c>
      <c r="I14" s="2">
        <v>46086</v>
      </c>
      <c r="J14" s="33">
        <f t="shared" si="0"/>
        <v>101013</v>
      </c>
      <c r="K14" s="3">
        <v>12883</v>
      </c>
      <c r="L14" s="3">
        <v>78797</v>
      </c>
      <c r="M14" s="3">
        <v>8333</v>
      </c>
      <c r="N14" s="3">
        <v>0</v>
      </c>
      <c r="O14" s="3">
        <v>1000</v>
      </c>
      <c r="P14" s="1" t="s">
        <v>383</v>
      </c>
      <c r="Q14" s="3">
        <v>131133</v>
      </c>
      <c r="R14" s="25">
        <f t="shared" si="1"/>
        <v>1.2981794422500075</v>
      </c>
      <c r="S14" s="32">
        <f>J14</f>
        <v>101013</v>
      </c>
      <c r="T14" s="3">
        <f t="shared" si="3"/>
        <v>0</v>
      </c>
      <c r="U14" s="1" t="s">
        <v>3615</v>
      </c>
      <c r="V14" s="16">
        <v>1</v>
      </c>
      <c r="W14" s="28">
        <f t="shared" si="4"/>
        <v>1</v>
      </c>
      <c r="X14" s="27">
        <f t="shared" si="5"/>
        <v>1</v>
      </c>
      <c r="Y14" s="18"/>
      <c r="Z14" s="19"/>
    </row>
    <row r="15" spans="1:26" x14ac:dyDescent="0.35">
      <c r="A15" s="29">
        <v>1</v>
      </c>
      <c r="B15" s="1" t="s">
        <v>3617</v>
      </c>
      <c r="C15" s="1"/>
      <c r="D15" s="1" t="s">
        <v>132</v>
      </c>
      <c r="E15" s="1" t="s">
        <v>133</v>
      </c>
      <c r="F15" s="1" t="s">
        <v>134</v>
      </c>
      <c r="G15" s="5" t="s">
        <v>135</v>
      </c>
      <c r="H15" s="1" t="s">
        <v>17</v>
      </c>
      <c r="I15" s="2">
        <v>46086</v>
      </c>
      <c r="J15" s="33">
        <f t="shared" si="0"/>
        <v>101013</v>
      </c>
      <c r="K15" s="3">
        <v>7353</v>
      </c>
      <c r="L15" s="3">
        <v>84327</v>
      </c>
      <c r="M15" s="3">
        <v>8333</v>
      </c>
      <c r="N15" s="3">
        <v>0</v>
      </c>
      <c r="O15" s="3">
        <v>1000</v>
      </c>
      <c r="P15" s="1" t="s">
        <v>136</v>
      </c>
      <c r="Q15" s="3">
        <v>194173</v>
      </c>
      <c r="R15" s="25">
        <f t="shared" si="1"/>
        <v>1.9222575312088543</v>
      </c>
      <c r="S15" s="32">
        <f>J15</f>
        <v>101013</v>
      </c>
      <c r="T15" s="3">
        <f t="shared" si="3"/>
        <v>0</v>
      </c>
      <c r="U15" s="1" t="s">
        <v>3615</v>
      </c>
      <c r="V15" s="16">
        <v>1</v>
      </c>
      <c r="W15" s="28">
        <f t="shared" si="4"/>
        <v>1</v>
      </c>
      <c r="X15" s="27">
        <f t="shared" si="5"/>
        <v>1</v>
      </c>
      <c r="Y15" s="18"/>
      <c r="Z15" s="19"/>
    </row>
    <row r="16" spans="1:26" x14ac:dyDescent="0.35">
      <c r="A16" s="29">
        <v>1</v>
      </c>
      <c r="B16" s="1" t="s">
        <v>3617</v>
      </c>
      <c r="C16" s="1"/>
      <c r="D16" s="1" t="s">
        <v>547</v>
      </c>
      <c r="E16" s="1" t="s">
        <v>548</v>
      </c>
      <c r="F16" s="1" t="s">
        <v>549</v>
      </c>
      <c r="G16" s="5" t="s">
        <v>550</v>
      </c>
      <c r="H16" s="1" t="s">
        <v>32</v>
      </c>
      <c r="I16" s="2">
        <v>46086</v>
      </c>
      <c r="J16" s="33">
        <f t="shared" si="0"/>
        <v>51007</v>
      </c>
      <c r="K16" s="3">
        <v>10356</v>
      </c>
      <c r="L16" s="3">
        <v>35484</v>
      </c>
      <c r="M16" s="3">
        <v>4167</v>
      </c>
      <c r="N16" s="3">
        <v>0</v>
      </c>
      <c r="O16" s="3">
        <v>1000</v>
      </c>
      <c r="P16" s="1" t="s">
        <v>551</v>
      </c>
      <c r="Q16" s="3">
        <v>201378</v>
      </c>
      <c r="R16" s="25">
        <f t="shared" si="1"/>
        <v>3.9480463465798814</v>
      </c>
      <c r="S16" s="32">
        <f>J16</f>
        <v>51007</v>
      </c>
      <c r="T16" s="3">
        <f t="shared" si="3"/>
        <v>0</v>
      </c>
      <c r="U16" s="1" t="s">
        <v>3615</v>
      </c>
      <c r="V16" s="16">
        <v>1</v>
      </c>
      <c r="W16" s="28">
        <f t="shared" si="4"/>
        <v>1</v>
      </c>
      <c r="X16" s="27">
        <f t="shared" si="5"/>
        <v>1</v>
      </c>
      <c r="Y16" s="18"/>
      <c r="Z16" s="19"/>
    </row>
    <row r="17" spans="1:26" x14ac:dyDescent="0.35">
      <c r="A17" s="29">
        <v>1</v>
      </c>
      <c r="B17" s="1" t="s">
        <v>3617</v>
      </c>
      <c r="C17" s="1"/>
      <c r="D17" s="1" t="s">
        <v>370</v>
      </c>
      <c r="E17" s="1" t="s">
        <v>371</v>
      </c>
      <c r="F17" s="1" t="s">
        <v>372</v>
      </c>
      <c r="G17" s="5" t="s">
        <v>373</v>
      </c>
      <c r="H17" s="1" t="s">
        <v>17</v>
      </c>
      <c r="I17" s="2">
        <v>46086</v>
      </c>
      <c r="J17" s="33">
        <f t="shared" si="0"/>
        <v>51007</v>
      </c>
      <c r="K17" s="3">
        <v>6441</v>
      </c>
      <c r="L17" s="3">
        <v>39399</v>
      </c>
      <c r="M17" s="3">
        <v>4167</v>
      </c>
      <c r="N17" s="3">
        <v>0</v>
      </c>
      <c r="O17" s="3">
        <v>1000</v>
      </c>
      <c r="P17" s="1" t="s">
        <v>374</v>
      </c>
      <c r="Q17" s="3">
        <v>231803</v>
      </c>
      <c r="R17" s="25">
        <f t="shared" si="1"/>
        <v>4.5445331032995471</v>
      </c>
      <c r="S17" s="32">
        <f>J17</f>
        <v>51007</v>
      </c>
      <c r="T17" s="3">
        <f t="shared" si="3"/>
        <v>0</v>
      </c>
      <c r="U17" s="1" t="s">
        <v>3615</v>
      </c>
      <c r="V17" s="16">
        <v>1</v>
      </c>
      <c r="W17" s="28">
        <f t="shared" si="4"/>
        <v>1</v>
      </c>
      <c r="X17" s="27">
        <f t="shared" si="5"/>
        <v>1</v>
      </c>
      <c r="Y17" s="18"/>
      <c r="Z17" s="19"/>
    </row>
    <row r="18" spans="1:26" x14ac:dyDescent="0.35">
      <c r="A18" s="29">
        <v>1</v>
      </c>
      <c r="B18" s="1" t="s">
        <v>3617</v>
      </c>
      <c r="C18" s="1"/>
      <c r="D18" s="1" t="s">
        <v>214</v>
      </c>
      <c r="E18" s="1" t="s">
        <v>215</v>
      </c>
      <c r="F18" s="1" t="s">
        <v>216</v>
      </c>
      <c r="G18" s="5" t="s">
        <v>217</v>
      </c>
      <c r="H18" s="1" t="s">
        <v>17</v>
      </c>
      <c r="I18" s="2">
        <v>46086</v>
      </c>
      <c r="J18" s="33">
        <f t="shared" si="0"/>
        <v>201027</v>
      </c>
      <c r="K18" s="3">
        <v>14618</v>
      </c>
      <c r="L18" s="3">
        <v>168742</v>
      </c>
      <c r="M18" s="3">
        <v>16667</v>
      </c>
      <c r="N18" s="3">
        <v>0</v>
      </c>
      <c r="O18" s="3">
        <v>1000</v>
      </c>
      <c r="P18" s="1" t="s">
        <v>218</v>
      </c>
      <c r="Q18" s="3">
        <v>118728</v>
      </c>
      <c r="R18" s="25">
        <f t="shared" si="1"/>
        <v>0.59060723186437647</v>
      </c>
      <c r="S18" s="32">
        <f>Q18</f>
        <v>118728</v>
      </c>
      <c r="T18" s="31">
        <f t="shared" si="3"/>
        <v>-82299</v>
      </c>
      <c r="U18" s="1" t="s">
        <v>3616</v>
      </c>
      <c r="V18" s="16"/>
      <c r="W18" s="30">
        <f t="shared" si="4"/>
        <v>0</v>
      </c>
      <c r="X18" s="27">
        <f t="shared" si="5"/>
        <v>0.59060723186437647</v>
      </c>
      <c r="Y18" s="18"/>
      <c r="Z18" s="19"/>
    </row>
    <row r="19" spans="1:26" x14ac:dyDescent="0.35">
      <c r="A19" s="29">
        <v>1</v>
      </c>
      <c r="B19" s="1" t="s">
        <v>3617</v>
      </c>
      <c r="C19" s="1"/>
      <c r="D19" s="1" t="s">
        <v>219</v>
      </c>
      <c r="E19" s="1" t="s">
        <v>220</v>
      </c>
      <c r="F19" s="1" t="s">
        <v>221</v>
      </c>
      <c r="G19" s="5" t="s">
        <v>222</v>
      </c>
      <c r="H19" s="1" t="s">
        <v>32</v>
      </c>
      <c r="I19" s="2">
        <v>46086</v>
      </c>
      <c r="J19" s="33">
        <f t="shared" si="0"/>
        <v>123417</v>
      </c>
      <c r="K19" s="3">
        <v>13123</v>
      </c>
      <c r="L19" s="3">
        <v>99294</v>
      </c>
      <c r="M19" s="3">
        <v>10000</v>
      </c>
      <c r="N19" s="3">
        <v>0</v>
      </c>
      <c r="O19" s="3">
        <v>1000</v>
      </c>
      <c r="P19" s="1" t="s">
        <v>223</v>
      </c>
      <c r="Q19" s="3">
        <v>116182</v>
      </c>
      <c r="R19" s="25">
        <f t="shared" si="1"/>
        <v>0.9413776060024146</v>
      </c>
      <c r="S19" s="32">
        <f>Q19</f>
        <v>116182</v>
      </c>
      <c r="T19" s="31">
        <f t="shared" si="3"/>
        <v>-7235</v>
      </c>
      <c r="U19" s="1" t="s">
        <v>3616</v>
      </c>
      <c r="V19" s="16"/>
      <c r="W19" s="30">
        <f t="shared" si="4"/>
        <v>0</v>
      </c>
      <c r="X19" s="27">
        <f t="shared" si="5"/>
        <v>0.9413776060024146</v>
      </c>
      <c r="Y19" s="18"/>
      <c r="Z19" s="19"/>
    </row>
    <row r="20" spans="1:26" x14ac:dyDescent="0.35">
      <c r="A20" s="29">
        <v>1</v>
      </c>
      <c r="B20" s="1" t="s">
        <v>3617</v>
      </c>
      <c r="C20" s="1"/>
      <c r="D20" s="1" t="s">
        <v>441</v>
      </c>
      <c r="E20" s="1" t="s">
        <v>442</v>
      </c>
      <c r="F20" s="1" t="s">
        <v>443</v>
      </c>
      <c r="G20" s="5" t="s">
        <v>444</v>
      </c>
      <c r="H20" s="1" t="s">
        <v>17</v>
      </c>
      <c r="I20" s="2">
        <v>46086</v>
      </c>
      <c r="J20" s="33">
        <f t="shared" si="0"/>
        <v>105042</v>
      </c>
      <c r="K20" s="3">
        <v>16857</v>
      </c>
      <c r="L20" s="3">
        <v>78852</v>
      </c>
      <c r="M20" s="3">
        <v>8333</v>
      </c>
      <c r="N20" s="3">
        <v>0</v>
      </c>
      <c r="O20" s="3">
        <v>1000</v>
      </c>
      <c r="P20" s="1" t="s">
        <v>445</v>
      </c>
      <c r="Q20" s="3">
        <v>274160</v>
      </c>
      <c r="R20" s="25">
        <f t="shared" si="1"/>
        <v>2.610003617600579</v>
      </c>
      <c r="S20" s="32">
        <f>J20</f>
        <v>105042</v>
      </c>
      <c r="T20" s="3">
        <f t="shared" si="3"/>
        <v>0</v>
      </c>
      <c r="U20" s="1" t="s">
        <v>3615</v>
      </c>
      <c r="V20" s="16">
        <v>1</v>
      </c>
      <c r="W20" s="28">
        <f t="shared" si="4"/>
        <v>1</v>
      </c>
      <c r="X20" s="27">
        <f t="shared" si="5"/>
        <v>1</v>
      </c>
      <c r="Y20" s="18"/>
      <c r="Z20" s="19"/>
    </row>
    <row r="21" spans="1:26" x14ac:dyDescent="0.35">
      <c r="A21" s="29">
        <v>1</v>
      </c>
      <c r="B21" s="1" t="s">
        <v>3617</v>
      </c>
      <c r="C21" s="1"/>
      <c r="D21" s="1" t="s">
        <v>24</v>
      </c>
      <c r="E21" s="1" t="s">
        <v>25</v>
      </c>
      <c r="F21" s="1" t="s">
        <v>26</v>
      </c>
      <c r="G21" s="5" t="s">
        <v>27</v>
      </c>
      <c r="H21" s="1" t="s">
        <v>17</v>
      </c>
      <c r="I21" s="2">
        <v>46086</v>
      </c>
      <c r="J21" s="33">
        <f t="shared" si="0"/>
        <v>131017</v>
      </c>
      <c r="K21" s="3">
        <v>11081</v>
      </c>
      <c r="L21" s="3">
        <v>108103</v>
      </c>
      <c r="M21" s="3">
        <v>10833</v>
      </c>
      <c r="N21" s="3">
        <v>0</v>
      </c>
      <c r="O21" s="3">
        <v>1000</v>
      </c>
      <c r="P21" s="1" t="s">
        <v>28</v>
      </c>
      <c r="Q21" s="3">
        <v>261902</v>
      </c>
      <c r="R21" s="25">
        <f t="shared" si="1"/>
        <v>1.9989924971568576</v>
      </c>
      <c r="S21" s="32">
        <f>J21</f>
        <v>131017</v>
      </c>
      <c r="T21" s="3">
        <f t="shared" si="3"/>
        <v>0</v>
      </c>
      <c r="U21" s="1" t="s">
        <v>3615</v>
      </c>
      <c r="V21" s="16">
        <v>1</v>
      </c>
      <c r="W21" s="28">
        <f t="shared" si="4"/>
        <v>1</v>
      </c>
      <c r="X21" s="27">
        <f t="shared" si="5"/>
        <v>1</v>
      </c>
      <c r="Y21" s="18"/>
      <c r="Z21" s="19"/>
    </row>
    <row r="22" spans="1:26" x14ac:dyDescent="0.35">
      <c r="A22" s="29">
        <v>1</v>
      </c>
      <c r="B22" s="1" t="s">
        <v>3617</v>
      </c>
      <c r="C22" s="1"/>
      <c r="D22" s="1" t="s">
        <v>291</v>
      </c>
      <c r="E22" s="1" t="s">
        <v>292</v>
      </c>
      <c r="F22" s="1" t="s">
        <v>293</v>
      </c>
      <c r="G22" s="5" t="s">
        <v>294</v>
      </c>
      <c r="H22" s="1" t="s">
        <v>17</v>
      </c>
      <c r="I22" s="2">
        <v>46086</v>
      </c>
      <c r="J22" s="33">
        <f t="shared" si="0"/>
        <v>100372</v>
      </c>
      <c r="K22" s="3">
        <v>13808</v>
      </c>
      <c r="L22" s="3">
        <v>77872</v>
      </c>
      <c r="M22" s="3">
        <v>7692</v>
      </c>
      <c r="N22" s="3">
        <v>0</v>
      </c>
      <c r="O22" s="3">
        <v>1000</v>
      </c>
      <c r="P22" s="1" t="s">
        <v>295</v>
      </c>
      <c r="Q22" s="3">
        <v>135352</v>
      </c>
      <c r="R22" s="25">
        <f t="shared" si="1"/>
        <v>1.3485035667317578</v>
      </c>
      <c r="S22" s="32">
        <f>J22</f>
        <v>100372</v>
      </c>
      <c r="T22" s="3">
        <f t="shared" si="3"/>
        <v>0</v>
      </c>
      <c r="U22" s="1" t="s">
        <v>3615</v>
      </c>
      <c r="V22" s="16">
        <v>1</v>
      </c>
      <c r="W22" s="28">
        <f t="shared" si="4"/>
        <v>1</v>
      </c>
      <c r="X22" s="27">
        <f t="shared" si="5"/>
        <v>1</v>
      </c>
      <c r="Y22" s="18"/>
      <c r="Z22" s="19"/>
    </row>
    <row r="23" spans="1:26" x14ac:dyDescent="0.35">
      <c r="A23" s="29">
        <v>1</v>
      </c>
      <c r="B23" s="1" t="s">
        <v>3617</v>
      </c>
      <c r="C23" s="1"/>
      <c r="D23" s="1" t="s">
        <v>127</v>
      </c>
      <c r="E23" s="1" t="s">
        <v>128</v>
      </c>
      <c r="F23" s="1" t="s">
        <v>129</v>
      </c>
      <c r="G23" s="5" t="s">
        <v>130</v>
      </c>
      <c r="H23" s="1" t="s">
        <v>17</v>
      </c>
      <c r="I23" s="2">
        <v>46086</v>
      </c>
      <c r="J23" s="33">
        <f t="shared" si="0"/>
        <v>71009</v>
      </c>
      <c r="K23" s="3">
        <v>5147</v>
      </c>
      <c r="L23" s="3">
        <v>59029</v>
      </c>
      <c r="M23" s="3">
        <v>5833</v>
      </c>
      <c r="N23" s="3">
        <v>0</v>
      </c>
      <c r="O23" s="3">
        <v>1000</v>
      </c>
      <c r="P23" s="1" t="s">
        <v>131</v>
      </c>
      <c r="Q23" s="3">
        <v>12556</v>
      </c>
      <c r="R23" s="25">
        <f t="shared" si="1"/>
        <v>0.17682265628300639</v>
      </c>
      <c r="S23" s="32">
        <f>Q23</f>
        <v>12556</v>
      </c>
      <c r="T23" s="31">
        <f t="shared" si="3"/>
        <v>-58453</v>
      </c>
      <c r="U23" s="1" t="s">
        <v>3616</v>
      </c>
      <c r="V23" s="16"/>
      <c r="W23" s="30">
        <f t="shared" si="4"/>
        <v>0</v>
      </c>
      <c r="X23" s="27">
        <f t="shared" si="5"/>
        <v>0.17682265628300639</v>
      </c>
      <c r="Y23" s="18"/>
      <c r="Z23" s="19"/>
    </row>
    <row r="24" spans="1:26" x14ac:dyDescent="0.35">
      <c r="A24" s="29">
        <v>1</v>
      </c>
      <c r="B24" s="1" t="s">
        <v>3617</v>
      </c>
      <c r="C24" s="1"/>
      <c r="D24" s="1" t="s">
        <v>348</v>
      </c>
      <c r="E24" s="1" t="s">
        <v>349</v>
      </c>
      <c r="F24" s="1" t="s">
        <v>350</v>
      </c>
      <c r="G24" s="5" t="s">
        <v>351</v>
      </c>
      <c r="H24" s="1" t="s">
        <v>17</v>
      </c>
      <c r="I24" s="2">
        <v>46086</v>
      </c>
      <c r="J24" s="33">
        <f t="shared" si="0"/>
        <v>151020</v>
      </c>
      <c r="K24" s="3">
        <v>17607</v>
      </c>
      <c r="L24" s="3">
        <v>119913</v>
      </c>
      <c r="M24" s="3">
        <v>12500</v>
      </c>
      <c r="N24" s="3">
        <v>0</v>
      </c>
      <c r="O24" s="3">
        <v>1000</v>
      </c>
      <c r="P24" s="1" t="s">
        <v>352</v>
      </c>
      <c r="Q24" s="3">
        <v>448053</v>
      </c>
      <c r="R24" s="25">
        <f t="shared" si="1"/>
        <v>2.966845450933651</v>
      </c>
      <c r="S24" s="32">
        <f>J24</f>
        <v>151020</v>
      </c>
      <c r="T24" s="3">
        <f t="shared" si="3"/>
        <v>0</v>
      </c>
      <c r="U24" s="1" t="s">
        <v>3615</v>
      </c>
      <c r="V24" s="16">
        <v>1</v>
      </c>
      <c r="W24" s="28">
        <f t="shared" si="4"/>
        <v>1</v>
      </c>
      <c r="X24" s="27">
        <f t="shared" si="5"/>
        <v>1</v>
      </c>
      <c r="Y24" s="18"/>
      <c r="Z24" s="19"/>
    </row>
    <row r="25" spans="1:26" x14ac:dyDescent="0.35">
      <c r="A25" s="29">
        <v>1</v>
      </c>
      <c r="B25" s="1" t="s">
        <v>3617</v>
      </c>
      <c r="C25" s="1"/>
      <c r="D25" s="1" t="s">
        <v>282</v>
      </c>
      <c r="E25" s="1" t="s">
        <v>283</v>
      </c>
      <c r="F25" s="1" t="s">
        <v>284</v>
      </c>
      <c r="G25" s="5" t="s">
        <v>285</v>
      </c>
      <c r="H25" s="1" t="s">
        <v>17</v>
      </c>
      <c r="I25" s="2">
        <v>46086</v>
      </c>
      <c r="J25" s="33">
        <f t="shared" si="0"/>
        <v>42728</v>
      </c>
      <c r="K25" s="3">
        <v>8745</v>
      </c>
      <c r="L25" s="3">
        <v>29825</v>
      </c>
      <c r="M25" s="3">
        <v>3158</v>
      </c>
      <c r="N25" s="3">
        <v>0</v>
      </c>
      <c r="O25" s="3">
        <v>1000</v>
      </c>
      <c r="P25" s="1" t="s">
        <v>286</v>
      </c>
      <c r="Q25" s="3">
        <v>79230</v>
      </c>
      <c r="R25" s="25">
        <f t="shared" si="1"/>
        <v>1.8542875865942707</v>
      </c>
      <c r="S25" s="32">
        <f>J25</f>
        <v>42728</v>
      </c>
      <c r="T25" s="3">
        <f t="shared" si="3"/>
        <v>0</v>
      </c>
      <c r="U25" s="1" t="s">
        <v>3615</v>
      </c>
      <c r="V25" s="16">
        <v>1</v>
      </c>
      <c r="W25" s="28">
        <f t="shared" si="4"/>
        <v>1</v>
      </c>
      <c r="X25" s="27">
        <f t="shared" si="5"/>
        <v>1</v>
      </c>
      <c r="Y25" s="18"/>
      <c r="Z25" s="19"/>
    </row>
    <row r="26" spans="1:26" x14ac:dyDescent="0.35">
      <c r="A26" s="29">
        <v>1</v>
      </c>
      <c r="B26" s="1" t="s">
        <v>3617</v>
      </c>
      <c r="C26" s="1"/>
      <c r="D26" s="1" t="s">
        <v>330</v>
      </c>
      <c r="E26" s="1" t="s">
        <v>331</v>
      </c>
      <c r="F26" s="1" t="s">
        <v>332</v>
      </c>
      <c r="G26" s="5" t="s">
        <v>333</v>
      </c>
      <c r="H26" s="1" t="s">
        <v>17</v>
      </c>
      <c r="I26" s="2">
        <v>46086</v>
      </c>
      <c r="J26" s="33">
        <f t="shared" si="0"/>
        <v>201027</v>
      </c>
      <c r="K26" s="3">
        <v>21359</v>
      </c>
      <c r="L26" s="3">
        <v>162001</v>
      </c>
      <c r="M26" s="3">
        <v>16667</v>
      </c>
      <c r="N26" s="3">
        <v>0</v>
      </c>
      <c r="O26" s="3">
        <v>1000</v>
      </c>
      <c r="P26" s="1" t="s">
        <v>334</v>
      </c>
      <c r="Q26" s="3">
        <v>342613</v>
      </c>
      <c r="R26" s="25">
        <f t="shared" si="1"/>
        <v>1.7043133509429083</v>
      </c>
      <c r="S26" s="32">
        <f>J26</f>
        <v>201027</v>
      </c>
      <c r="T26" s="3">
        <f t="shared" si="3"/>
        <v>0</v>
      </c>
      <c r="U26" s="1" t="s">
        <v>3615</v>
      </c>
      <c r="V26" s="16">
        <v>1</v>
      </c>
      <c r="W26" s="28">
        <f t="shared" si="4"/>
        <v>1</v>
      </c>
      <c r="X26" s="27">
        <f t="shared" si="5"/>
        <v>1</v>
      </c>
      <c r="Y26" s="18"/>
      <c r="Z26" s="19"/>
    </row>
    <row r="27" spans="1:26" x14ac:dyDescent="0.35">
      <c r="A27" s="29">
        <v>1</v>
      </c>
      <c r="B27" s="1" t="s">
        <v>3617</v>
      </c>
      <c r="C27" s="1"/>
      <c r="D27" s="1" t="s">
        <v>255</v>
      </c>
      <c r="E27" s="1" t="s">
        <v>256</v>
      </c>
      <c r="F27" s="1" t="s">
        <v>257</v>
      </c>
      <c r="G27" s="5" t="s">
        <v>258</v>
      </c>
      <c r="H27" s="1" t="s">
        <v>17</v>
      </c>
      <c r="I27" s="2">
        <v>46086</v>
      </c>
      <c r="J27" s="33">
        <f t="shared" si="0"/>
        <v>71009</v>
      </c>
      <c r="K27" s="3">
        <v>9047</v>
      </c>
      <c r="L27" s="3">
        <v>55129</v>
      </c>
      <c r="M27" s="3">
        <v>5833</v>
      </c>
      <c r="N27" s="3">
        <v>0</v>
      </c>
      <c r="O27" s="3">
        <v>1000</v>
      </c>
      <c r="P27" s="1" t="s">
        <v>259</v>
      </c>
      <c r="Q27" s="3">
        <v>37574</v>
      </c>
      <c r="R27" s="25">
        <f t="shared" si="1"/>
        <v>0.52914419298962101</v>
      </c>
      <c r="S27" s="32">
        <f>Q27</f>
        <v>37574</v>
      </c>
      <c r="T27" s="31">
        <f t="shared" si="3"/>
        <v>-33435</v>
      </c>
      <c r="U27" s="1" t="s">
        <v>3616</v>
      </c>
      <c r="V27" s="16"/>
      <c r="W27" s="30">
        <f t="shared" si="4"/>
        <v>0</v>
      </c>
      <c r="X27" s="27">
        <f t="shared" si="5"/>
        <v>0.52914419298962101</v>
      </c>
      <c r="Y27" s="18"/>
      <c r="Z27" s="19"/>
    </row>
    <row r="28" spans="1:26" x14ac:dyDescent="0.35">
      <c r="A28" s="29">
        <v>1</v>
      </c>
      <c r="B28" s="1" t="s">
        <v>3617</v>
      </c>
      <c r="C28" s="1"/>
      <c r="D28" s="1" t="s">
        <v>388</v>
      </c>
      <c r="E28" s="1" t="s">
        <v>389</v>
      </c>
      <c r="F28" s="1" t="s">
        <v>390</v>
      </c>
      <c r="G28" s="5" t="s">
        <v>391</v>
      </c>
      <c r="H28" s="1" t="s">
        <v>17</v>
      </c>
      <c r="I28" s="2">
        <v>46086</v>
      </c>
      <c r="J28" s="33">
        <f t="shared" si="0"/>
        <v>31004</v>
      </c>
      <c r="K28" s="3">
        <v>6214</v>
      </c>
      <c r="L28" s="3">
        <v>21290</v>
      </c>
      <c r="M28" s="3">
        <v>2500</v>
      </c>
      <c r="N28" s="3">
        <v>0</v>
      </c>
      <c r="O28" s="3">
        <v>1000</v>
      </c>
      <c r="P28" s="1" t="s">
        <v>392</v>
      </c>
      <c r="Q28" s="3">
        <v>37724</v>
      </c>
      <c r="R28" s="25">
        <f t="shared" si="1"/>
        <v>1.2167462262933815</v>
      </c>
      <c r="S28" s="32">
        <f>J28</f>
        <v>31004</v>
      </c>
      <c r="T28" s="3">
        <f t="shared" si="3"/>
        <v>0</v>
      </c>
      <c r="U28" s="1" t="s">
        <v>3615</v>
      </c>
      <c r="V28" s="16">
        <v>1</v>
      </c>
      <c r="W28" s="28">
        <f t="shared" si="4"/>
        <v>1</v>
      </c>
      <c r="X28" s="27">
        <f t="shared" si="5"/>
        <v>1</v>
      </c>
      <c r="Y28" s="18"/>
      <c r="Z28" s="19"/>
    </row>
    <row r="29" spans="1:26" x14ac:dyDescent="0.35">
      <c r="A29" s="29">
        <v>1</v>
      </c>
      <c r="B29" s="1" t="s">
        <v>3617</v>
      </c>
      <c r="C29" s="1"/>
      <c r="D29" s="1" t="s">
        <v>393</v>
      </c>
      <c r="E29" s="1" t="s">
        <v>394</v>
      </c>
      <c r="F29" s="1" t="s">
        <v>395</v>
      </c>
      <c r="G29" s="5" t="s">
        <v>396</v>
      </c>
      <c r="H29" s="1" t="s">
        <v>17</v>
      </c>
      <c r="I29" s="2">
        <v>46086</v>
      </c>
      <c r="J29" s="33">
        <f t="shared" si="0"/>
        <v>31004</v>
      </c>
      <c r="K29" s="3">
        <v>6214</v>
      </c>
      <c r="L29" s="3">
        <v>21290</v>
      </c>
      <c r="M29" s="3">
        <v>2500</v>
      </c>
      <c r="N29" s="3">
        <v>0</v>
      </c>
      <c r="O29" s="3">
        <v>1000</v>
      </c>
      <c r="P29" s="1" t="s">
        <v>397</v>
      </c>
      <c r="Q29" s="3">
        <v>46571</v>
      </c>
      <c r="R29" s="25">
        <f t="shared" si="1"/>
        <v>1.5020965036769449</v>
      </c>
      <c r="S29" s="32">
        <f>J29</f>
        <v>31004</v>
      </c>
      <c r="T29" s="3">
        <f t="shared" si="3"/>
        <v>0</v>
      </c>
      <c r="U29" s="1" t="s">
        <v>3615</v>
      </c>
      <c r="V29" s="16">
        <v>1</v>
      </c>
      <c r="W29" s="28">
        <f t="shared" si="4"/>
        <v>1</v>
      </c>
      <c r="X29" s="27">
        <f t="shared" si="5"/>
        <v>1</v>
      </c>
      <c r="Y29" s="18"/>
      <c r="Z29" s="19"/>
    </row>
    <row r="30" spans="1:26" x14ac:dyDescent="0.35">
      <c r="A30" s="29">
        <v>1</v>
      </c>
      <c r="B30" s="1" t="s">
        <v>3617</v>
      </c>
      <c r="C30" s="1"/>
      <c r="D30" s="1" t="s">
        <v>55</v>
      </c>
      <c r="E30" s="1" t="s">
        <v>56</v>
      </c>
      <c r="F30" s="1" t="s">
        <v>57</v>
      </c>
      <c r="G30" s="5" t="s">
        <v>58</v>
      </c>
      <c r="H30" s="1" t="s">
        <v>17</v>
      </c>
      <c r="I30" s="2">
        <v>46086</v>
      </c>
      <c r="J30" s="33">
        <f t="shared" si="0"/>
        <v>151020</v>
      </c>
      <c r="K30" s="3">
        <v>17638</v>
      </c>
      <c r="L30" s="3">
        <v>119882</v>
      </c>
      <c r="M30" s="3">
        <v>12500</v>
      </c>
      <c r="N30" s="3">
        <v>0</v>
      </c>
      <c r="O30" s="3">
        <v>1000</v>
      </c>
      <c r="P30" s="1" t="s">
        <v>59</v>
      </c>
      <c r="Q30" s="3">
        <v>242215</v>
      </c>
      <c r="R30" s="25">
        <f t="shared" si="1"/>
        <v>1.6038604158389618</v>
      </c>
      <c r="S30" s="32">
        <f>J30</f>
        <v>151020</v>
      </c>
      <c r="T30" s="3">
        <f t="shared" si="3"/>
        <v>0</v>
      </c>
      <c r="U30" s="1" t="s">
        <v>3615</v>
      </c>
      <c r="V30" s="16">
        <v>1</v>
      </c>
      <c r="W30" s="28">
        <f t="shared" si="4"/>
        <v>1</v>
      </c>
      <c r="X30" s="27">
        <f t="shared" si="5"/>
        <v>1</v>
      </c>
      <c r="Y30" s="18"/>
      <c r="Z30" s="19"/>
    </row>
    <row r="31" spans="1:26" x14ac:dyDescent="0.35">
      <c r="A31" s="29">
        <v>1</v>
      </c>
      <c r="B31" s="1" t="s">
        <v>3617</v>
      </c>
      <c r="C31" s="1"/>
      <c r="D31" s="1" t="s">
        <v>250</v>
      </c>
      <c r="E31" s="1" t="s">
        <v>251</v>
      </c>
      <c r="F31" s="1" t="s">
        <v>252</v>
      </c>
      <c r="G31" s="5" t="s">
        <v>253</v>
      </c>
      <c r="H31" s="1" t="s">
        <v>17</v>
      </c>
      <c r="I31" s="2">
        <v>46086</v>
      </c>
      <c r="J31" s="33">
        <f t="shared" si="0"/>
        <v>105042</v>
      </c>
      <c r="K31" s="3">
        <v>19973</v>
      </c>
      <c r="L31" s="3">
        <v>75736</v>
      </c>
      <c r="M31" s="3">
        <v>8333</v>
      </c>
      <c r="N31" s="3">
        <v>0</v>
      </c>
      <c r="O31" s="3">
        <v>1000</v>
      </c>
      <c r="P31" s="1" t="s">
        <v>254</v>
      </c>
      <c r="Q31" s="3">
        <v>202037</v>
      </c>
      <c r="R31" s="25">
        <f t="shared" si="1"/>
        <v>1.9233925477428075</v>
      </c>
      <c r="S31" s="32">
        <f>J31</f>
        <v>105042</v>
      </c>
      <c r="T31" s="3">
        <f t="shared" si="3"/>
        <v>0</v>
      </c>
      <c r="U31" s="1" t="s">
        <v>3615</v>
      </c>
      <c r="V31" s="16">
        <v>1</v>
      </c>
      <c r="W31" s="28">
        <f t="shared" si="4"/>
        <v>1</v>
      </c>
      <c r="X31" s="27">
        <f t="shared" si="5"/>
        <v>1</v>
      </c>
      <c r="Y31" s="18"/>
      <c r="Z31" s="19"/>
    </row>
    <row r="32" spans="1:26" x14ac:dyDescent="0.35">
      <c r="A32" s="29">
        <v>1</v>
      </c>
      <c r="B32" s="1" t="s">
        <v>3617</v>
      </c>
      <c r="C32" s="1"/>
      <c r="D32" s="1" t="s">
        <v>398</v>
      </c>
      <c r="E32" s="1" t="s">
        <v>399</v>
      </c>
      <c r="F32" s="1" t="s">
        <v>400</v>
      </c>
      <c r="G32" s="5" t="s">
        <v>401</v>
      </c>
      <c r="H32" s="1" t="s">
        <v>17</v>
      </c>
      <c r="I32" s="2">
        <v>46086</v>
      </c>
      <c r="J32" s="33">
        <f t="shared" si="0"/>
        <v>71009</v>
      </c>
      <c r="K32" s="3">
        <v>14499</v>
      </c>
      <c r="L32" s="3">
        <v>49677</v>
      </c>
      <c r="M32" s="3">
        <v>5833</v>
      </c>
      <c r="N32" s="3">
        <v>0</v>
      </c>
      <c r="O32" s="3">
        <v>1000</v>
      </c>
      <c r="P32" s="1" t="s">
        <v>402</v>
      </c>
      <c r="Q32" s="3">
        <v>21876</v>
      </c>
      <c r="R32" s="25">
        <f t="shared" si="1"/>
        <v>0.30807362447013759</v>
      </c>
      <c r="S32" s="32">
        <f>Q32</f>
        <v>21876</v>
      </c>
      <c r="T32" s="31">
        <f t="shared" si="3"/>
        <v>-49133</v>
      </c>
      <c r="U32" s="1" t="s">
        <v>3616</v>
      </c>
      <c r="V32" s="16"/>
      <c r="W32" s="30">
        <f t="shared" si="4"/>
        <v>0</v>
      </c>
      <c r="X32" s="27">
        <f t="shared" si="5"/>
        <v>0.30807362447013759</v>
      </c>
      <c r="Y32" s="18"/>
      <c r="Z32" s="19"/>
    </row>
    <row r="33" spans="1:26" x14ac:dyDescent="0.35">
      <c r="A33" s="29">
        <v>1</v>
      </c>
      <c r="B33" s="1" t="s">
        <v>3617</v>
      </c>
      <c r="C33" s="1"/>
      <c r="D33" s="1" t="s">
        <v>204</v>
      </c>
      <c r="E33" s="1" t="s">
        <v>205</v>
      </c>
      <c r="F33" s="1" t="s">
        <v>206</v>
      </c>
      <c r="G33" s="5" t="s">
        <v>207</v>
      </c>
      <c r="H33" s="1" t="s">
        <v>17</v>
      </c>
      <c r="I33" s="2">
        <v>46086</v>
      </c>
      <c r="J33" s="33">
        <f t="shared" si="0"/>
        <v>251033</v>
      </c>
      <c r="K33" s="3">
        <v>15241</v>
      </c>
      <c r="L33" s="3">
        <v>213959</v>
      </c>
      <c r="M33" s="3">
        <v>20833</v>
      </c>
      <c r="N33" s="3">
        <v>0</v>
      </c>
      <c r="O33" s="3">
        <v>1000</v>
      </c>
      <c r="P33" s="1" t="s">
        <v>208</v>
      </c>
      <c r="Q33" s="3">
        <v>22784</v>
      </c>
      <c r="R33" s="25">
        <f t="shared" si="1"/>
        <v>9.0760975648619902E-2</v>
      </c>
      <c r="S33" s="32">
        <f>Q33</f>
        <v>22784</v>
      </c>
      <c r="T33" s="31">
        <f t="shared" si="3"/>
        <v>-228249</v>
      </c>
      <c r="U33" s="1" t="s">
        <v>3616</v>
      </c>
      <c r="V33" s="16"/>
      <c r="W33" s="30">
        <f t="shared" si="4"/>
        <v>0</v>
      </c>
      <c r="X33" s="27">
        <f t="shared" si="5"/>
        <v>9.0760975648619902E-2</v>
      </c>
      <c r="Y33" s="18"/>
      <c r="Z33" s="19"/>
    </row>
    <row r="34" spans="1:26" x14ac:dyDescent="0.35">
      <c r="A34" s="29">
        <v>1</v>
      </c>
      <c r="B34" s="1" t="s">
        <v>3617</v>
      </c>
      <c r="C34" s="1"/>
      <c r="D34" s="1" t="s">
        <v>157</v>
      </c>
      <c r="E34" s="1" t="s">
        <v>158</v>
      </c>
      <c r="F34" s="1" t="s">
        <v>159</v>
      </c>
      <c r="G34" s="5" t="s">
        <v>160</v>
      </c>
      <c r="H34" s="1" t="s">
        <v>17</v>
      </c>
      <c r="I34" s="2">
        <v>46086</v>
      </c>
      <c r="J34" s="33">
        <f t="shared" si="0"/>
        <v>71009</v>
      </c>
      <c r="K34" s="3">
        <v>5091</v>
      </c>
      <c r="L34" s="3">
        <v>59085</v>
      </c>
      <c r="M34" s="3">
        <v>5833</v>
      </c>
      <c r="N34" s="3">
        <v>0</v>
      </c>
      <c r="O34" s="3">
        <v>1000</v>
      </c>
      <c r="P34" s="1" t="s">
        <v>161</v>
      </c>
      <c r="Q34" s="3">
        <v>128497</v>
      </c>
      <c r="R34" s="25">
        <f t="shared" si="1"/>
        <v>1.8095875170753004</v>
      </c>
      <c r="S34" s="32">
        <f>J34</f>
        <v>71009</v>
      </c>
      <c r="T34" s="3">
        <f t="shared" si="3"/>
        <v>0</v>
      </c>
      <c r="U34" s="1" t="s">
        <v>3615</v>
      </c>
      <c r="V34" s="16">
        <v>1</v>
      </c>
      <c r="W34" s="28">
        <f t="shared" si="4"/>
        <v>1</v>
      </c>
      <c r="X34" s="27">
        <f t="shared" si="5"/>
        <v>1</v>
      </c>
      <c r="Y34" s="18"/>
      <c r="Z34" s="19"/>
    </row>
    <row r="35" spans="1:26" x14ac:dyDescent="0.35">
      <c r="A35" s="29">
        <v>1</v>
      </c>
      <c r="B35" s="1" t="s">
        <v>3617</v>
      </c>
      <c r="C35" s="1"/>
      <c r="D35" s="1" t="s">
        <v>422</v>
      </c>
      <c r="E35" s="1" t="s">
        <v>423</v>
      </c>
      <c r="F35" s="1" t="s">
        <v>424</v>
      </c>
      <c r="G35" s="5" t="s">
        <v>425</v>
      </c>
      <c r="H35" s="1" t="s">
        <v>17</v>
      </c>
      <c r="I35" s="2">
        <v>46086</v>
      </c>
      <c r="J35" s="33">
        <f t="shared" ref="J35:J66" si="6">SUM(K35:O35)</f>
        <v>51007</v>
      </c>
      <c r="K35" s="3">
        <v>4258</v>
      </c>
      <c r="L35" s="3">
        <v>41582</v>
      </c>
      <c r="M35" s="3">
        <v>4167</v>
      </c>
      <c r="N35" s="3">
        <v>0</v>
      </c>
      <c r="O35" s="3">
        <v>1000</v>
      </c>
      <c r="P35" s="1" t="s">
        <v>426</v>
      </c>
      <c r="Q35" s="3">
        <v>291851</v>
      </c>
      <c r="R35" s="25">
        <f t="shared" ref="R35:R66" si="7">Q35/J35</f>
        <v>5.7217832846472056</v>
      </c>
      <c r="S35" s="32">
        <f>J35</f>
        <v>51007</v>
      </c>
      <c r="T35" s="3">
        <f t="shared" ref="T35:T66" si="8">S35-J35</f>
        <v>0</v>
      </c>
      <c r="U35" s="1" t="s">
        <v>3615</v>
      </c>
      <c r="V35" s="16">
        <v>1</v>
      </c>
      <c r="W35" s="28">
        <f t="shared" si="4"/>
        <v>1</v>
      </c>
      <c r="X35" s="27">
        <f t="shared" ref="X35:X66" si="9">S35/J35</f>
        <v>1</v>
      </c>
      <c r="Y35" s="18"/>
      <c r="Z35" s="19"/>
    </row>
    <row r="36" spans="1:26" x14ac:dyDescent="0.35">
      <c r="A36" s="29">
        <v>1</v>
      </c>
      <c r="B36" s="1" t="s">
        <v>3617</v>
      </c>
      <c r="C36" s="1"/>
      <c r="D36" s="1" t="s">
        <v>365</v>
      </c>
      <c r="E36" s="1" t="s">
        <v>366</v>
      </c>
      <c r="F36" s="1" t="s">
        <v>367</v>
      </c>
      <c r="G36" s="5" t="s">
        <v>368</v>
      </c>
      <c r="H36" s="1" t="s">
        <v>17</v>
      </c>
      <c r="I36" s="2">
        <v>46086</v>
      </c>
      <c r="J36" s="33">
        <f t="shared" si="6"/>
        <v>51007</v>
      </c>
      <c r="K36" s="3">
        <v>6441</v>
      </c>
      <c r="L36" s="3">
        <v>39399</v>
      </c>
      <c r="M36" s="3">
        <v>4167</v>
      </c>
      <c r="N36" s="3">
        <v>0</v>
      </c>
      <c r="O36" s="3">
        <v>1000</v>
      </c>
      <c r="P36" s="1" t="s">
        <v>369</v>
      </c>
      <c r="Q36" s="3">
        <v>24124</v>
      </c>
      <c r="R36" s="25">
        <f t="shared" si="7"/>
        <v>0.47295469249318722</v>
      </c>
      <c r="S36" s="32">
        <f>Q36</f>
        <v>24124</v>
      </c>
      <c r="T36" s="31">
        <f t="shared" si="8"/>
        <v>-26883</v>
      </c>
      <c r="U36" s="1" t="s">
        <v>3616</v>
      </c>
      <c r="V36" s="16"/>
      <c r="W36" s="30">
        <f t="shared" si="4"/>
        <v>0</v>
      </c>
      <c r="X36" s="27">
        <f t="shared" si="9"/>
        <v>0.47295469249318722</v>
      </c>
      <c r="Y36" s="18"/>
      <c r="Z36" s="19"/>
    </row>
    <row r="37" spans="1:26" x14ac:dyDescent="0.35">
      <c r="A37" s="29">
        <v>1</v>
      </c>
      <c r="B37" s="1" t="s">
        <v>3617</v>
      </c>
      <c r="C37" s="1"/>
      <c r="D37" s="1" t="s">
        <v>486</v>
      </c>
      <c r="E37" s="1" t="s">
        <v>487</v>
      </c>
      <c r="F37" s="1" t="s">
        <v>488</v>
      </c>
      <c r="G37" s="5" t="s">
        <v>489</v>
      </c>
      <c r="H37" s="1" t="s">
        <v>32</v>
      </c>
      <c r="I37" s="2">
        <v>46086</v>
      </c>
      <c r="J37" s="33">
        <f t="shared" si="6"/>
        <v>51007</v>
      </c>
      <c r="K37" s="3">
        <v>5876</v>
      </c>
      <c r="L37" s="3">
        <v>39964</v>
      </c>
      <c r="M37" s="3">
        <v>4167</v>
      </c>
      <c r="N37" s="3">
        <v>0</v>
      </c>
      <c r="O37" s="3">
        <v>1000</v>
      </c>
      <c r="P37" s="1" t="s">
        <v>490</v>
      </c>
      <c r="Q37" s="3">
        <v>118530</v>
      </c>
      <c r="R37" s="25">
        <f t="shared" si="7"/>
        <v>2.3237986942968614</v>
      </c>
      <c r="S37" s="32">
        <f>J37</f>
        <v>51007</v>
      </c>
      <c r="T37" s="3">
        <f t="shared" si="8"/>
        <v>0</v>
      </c>
      <c r="U37" s="1" t="s">
        <v>3615</v>
      </c>
      <c r="V37" s="16">
        <v>1</v>
      </c>
      <c r="W37" s="28">
        <f t="shared" si="4"/>
        <v>1</v>
      </c>
      <c r="X37" s="27">
        <f t="shared" si="9"/>
        <v>1</v>
      </c>
      <c r="Y37" s="18"/>
      <c r="Z37" s="19"/>
    </row>
    <row r="38" spans="1:26" x14ac:dyDescent="0.35">
      <c r="A38" s="29">
        <v>1</v>
      </c>
      <c r="B38" s="1" t="s">
        <v>3617</v>
      </c>
      <c r="C38" s="1"/>
      <c r="D38" s="1" t="s">
        <v>209</v>
      </c>
      <c r="E38" s="1" t="s">
        <v>210</v>
      </c>
      <c r="F38" s="1" t="s">
        <v>211</v>
      </c>
      <c r="G38" s="5" t="s">
        <v>212</v>
      </c>
      <c r="H38" s="1" t="s">
        <v>17</v>
      </c>
      <c r="I38" s="2">
        <v>46086</v>
      </c>
      <c r="J38" s="33">
        <f t="shared" si="6"/>
        <v>501067</v>
      </c>
      <c r="K38" s="3">
        <v>36618</v>
      </c>
      <c r="L38" s="3">
        <v>421782</v>
      </c>
      <c r="M38" s="3">
        <v>41667</v>
      </c>
      <c r="N38" s="3">
        <v>0</v>
      </c>
      <c r="O38" s="3">
        <v>1000</v>
      </c>
      <c r="P38" s="1" t="s">
        <v>213</v>
      </c>
      <c r="Q38" s="3">
        <v>0</v>
      </c>
      <c r="R38" s="25">
        <f t="shared" si="7"/>
        <v>0</v>
      </c>
      <c r="S38" s="32">
        <f>Q38</f>
        <v>0</v>
      </c>
      <c r="T38" s="31">
        <f t="shared" si="8"/>
        <v>-501067</v>
      </c>
      <c r="U38" s="1" t="s">
        <v>3616</v>
      </c>
      <c r="V38" s="16"/>
      <c r="W38" s="30">
        <f t="shared" si="4"/>
        <v>0</v>
      </c>
      <c r="X38" s="27">
        <f t="shared" si="9"/>
        <v>0</v>
      </c>
      <c r="Y38" s="18"/>
      <c r="Z38" s="19"/>
    </row>
    <row r="39" spans="1:26" x14ac:dyDescent="0.35">
      <c r="A39" s="29">
        <v>1</v>
      </c>
      <c r="B39" s="1" t="s">
        <v>3617</v>
      </c>
      <c r="C39" s="1"/>
      <c r="D39" s="1" t="s">
        <v>91</v>
      </c>
      <c r="E39" s="1" t="s">
        <v>92</v>
      </c>
      <c r="F39" s="1" t="s">
        <v>93</v>
      </c>
      <c r="G39" s="5" t="s">
        <v>94</v>
      </c>
      <c r="H39" s="1" t="s">
        <v>17</v>
      </c>
      <c r="I39" s="2">
        <v>46086</v>
      </c>
      <c r="J39" s="33">
        <f t="shared" si="6"/>
        <v>20874</v>
      </c>
      <c r="K39" s="3">
        <v>2762</v>
      </c>
      <c r="L39" s="3">
        <v>15574</v>
      </c>
      <c r="M39" s="3">
        <v>1538</v>
      </c>
      <c r="N39" s="3">
        <v>0</v>
      </c>
      <c r="O39" s="3">
        <v>1000</v>
      </c>
      <c r="P39" s="1" t="s">
        <v>95</v>
      </c>
      <c r="Q39" s="3">
        <v>68891</v>
      </c>
      <c r="R39" s="25">
        <f t="shared" si="7"/>
        <v>3.3003257641084605</v>
      </c>
      <c r="S39" s="32">
        <f>J39</f>
        <v>20874</v>
      </c>
      <c r="T39" s="3">
        <f t="shared" si="8"/>
        <v>0</v>
      </c>
      <c r="U39" s="1" t="s">
        <v>3615</v>
      </c>
      <c r="V39" s="16">
        <v>1</v>
      </c>
      <c r="W39" s="28">
        <f t="shared" si="4"/>
        <v>1</v>
      </c>
      <c r="X39" s="27">
        <f t="shared" si="9"/>
        <v>1</v>
      </c>
      <c r="Y39" s="18"/>
      <c r="Z39" s="19"/>
    </row>
    <row r="40" spans="1:26" x14ac:dyDescent="0.35">
      <c r="A40" s="29">
        <v>1</v>
      </c>
      <c r="B40" s="1" t="s">
        <v>3617</v>
      </c>
      <c r="C40" s="1"/>
      <c r="D40" s="1" t="s">
        <v>100</v>
      </c>
      <c r="E40" s="1" t="s">
        <v>101</v>
      </c>
      <c r="F40" s="1" t="s">
        <v>102</v>
      </c>
      <c r="G40" s="5" t="s">
        <v>103</v>
      </c>
      <c r="H40" s="1" t="s">
        <v>17</v>
      </c>
      <c r="I40" s="2">
        <v>46086</v>
      </c>
      <c r="J40" s="33">
        <f t="shared" si="6"/>
        <v>199745</v>
      </c>
      <c r="K40" s="3">
        <v>27616</v>
      </c>
      <c r="L40" s="3">
        <v>155744</v>
      </c>
      <c r="M40" s="3">
        <v>15385</v>
      </c>
      <c r="N40" s="3">
        <v>0</v>
      </c>
      <c r="O40" s="3">
        <v>1000</v>
      </c>
      <c r="P40" s="1" t="s">
        <v>104</v>
      </c>
      <c r="Q40" s="3">
        <v>471393</v>
      </c>
      <c r="R40" s="25">
        <f t="shared" si="7"/>
        <v>2.3599739668076798</v>
      </c>
      <c r="S40" s="32">
        <f>J40</f>
        <v>199745</v>
      </c>
      <c r="T40" s="3">
        <f t="shared" si="8"/>
        <v>0</v>
      </c>
      <c r="U40" s="1" t="s">
        <v>3615</v>
      </c>
      <c r="V40" s="16">
        <v>1</v>
      </c>
      <c r="W40" s="28">
        <f t="shared" si="4"/>
        <v>1</v>
      </c>
      <c r="X40" s="27">
        <f t="shared" si="9"/>
        <v>1</v>
      </c>
      <c r="Y40" s="18"/>
      <c r="Z40" s="19"/>
    </row>
    <row r="41" spans="1:26" x14ac:dyDescent="0.35">
      <c r="A41" s="29">
        <v>1</v>
      </c>
      <c r="B41" s="1" t="s">
        <v>3617</v>
      </c>
      <c r="C41" s="1"/>
      <c r="D41" s="1" t="s">
        <v>13</v>
      </c>
      <c r="E41" s="1" t="s">
        <v>14</v>
      </c>
      <c r="F41" s="1" t="s">
        <v>15</v>
      </c>
      <c r="G41" s="5" t="s">
        <v>16</v>
      </c>
      <c r="H41" s="1" t="s">
        <v>17</v>
      </c>
      <c r="I41" s="2">
        <v>46086</v>
      </c>
      <c r="J41" s="33">
        <f t="shared" si="6"/>
        <v>221029</v>
      </c>
      <c r="K41" s="3">
        <v>13412</v>
      </c>
      <c r="L41" s="3">
        <v>188284</v>
      </c>
      <c r="M41" s="3">
        <v>18333</v>
      </c>
      <c r="N41" s="3">
        <v>0</v>
      </c>
      <c r="O41" s="3">
        <v>1000</v>
      </c>
      <c r="P41" s="1" t="s">
        <v>18</v>
      </c>
      <c r="Q41" s="3">
        <v>18584</v>
      </c>
      <c r="R41" s="25">
        <f t="shared" si="7"/>
        <v>8.407946468562949E-2</v>
      </c>
      <c r="S41" s="32">
        <f>Q41</f>
        <v>18584</v>
      </c>
      <c r="T41" s="31">
        <f t="shared" si="8"/>
        <v>-202445</v>
      </c>
      <c r="U41" s="1" t="s">
        <v>3616</v>
      </c>
      <c r="V41" s="16"/>
      <c r="W41" s="30">
        <f t="shared" si="4"/>
        <v>0</v>
      </c>
      <c r="X41" s="27">
        <f t="shared" si="9"/>
        <v>8.407946468562949E-2</v>
      </c>
      <c r="Y41" s="18"/>
      <c r="Z41" s="19"/>
    </row>
    <row r="42" spans="1:26" x14ac:dyDescent="0.35">
      <c r="A42" s="29">
        <v>1</v>
      </c>
      <c r="B42" s="1" t="s">
        <v>3617</v>
      </c>
      <c r="C42" s="1"/>
      <c r="D42" s="1" t="s">
        <v>325</v>
      </c>
      <c r="E42" s="1" t="s">
        <v>326</v>
      </c>
      <c r="F42" s="1" t="s">
        <v>327</v>
      </c>
      <c r="G42" s="5" t="s">
        <v>328</v>
      </c>
      <c r="H42" s="1" t="s">
        <v>17</v>
      </c>
      <c r="I42" s="2">
        <v>46086</v>
      </c>
      <c r="J42" s="33">
        <f t="shared" si="6"/>
        <v>51007</v>
      </c>
      <c r="K42" s="3">
        <v>5368</v>
      </c>
      <c r="L42" s="3">
        <v>40472</v>
      </c>
      <c r="M42" s="3">
        <v>4167</v>
      </c>
      <c r="N42" s="3">
        <v>0</v>
      </c>
      <c r="O42" s="3">
        <v>1000</v>
      </c>
      <c r="P42" s="1" t="s">
        <v>329</v>
      </c>
      <c r="Q42" s="3">
        <v>110206</v>
      </c>
      <c r="R42" s="25">
        <f t="shared" si="7"/>
        <v>2.1606054071009861</v>
      </c>
      <c r="S42" s="32">
        <f>J42</f>
        <v>51007</v>
      </c>
      <c r="T42" s="3">
        <f t="shared" si="8"/>
        <v>0</v>
      </c>
      <c r="U42" s="1" t="s">
        <v>3615</v>
      </c>
      <c r="V42" s="16">
        <v>1</v>
      </c>
      <c r="W42" s="28">
        <f t="shared" si="4"/>
        <v>1</v>
      </c>
      <c r="X42" s="27">
        <f t="shared" si="9"/>
        <v>1</v>
      </c>
      <c r="Y42" s="18"/>
      <c r="Z42" s="19"/>
    </row>
    <row r="43" spans="1:26" x14ac:dyDescent="0.35">
      <c r="A43" s="29">
        <v>1</v>
      </c>
      <c r="B43" s="1" t="s">
        <v>3617</v>
      </c>
      <c r="C43" s="1"/>
      <c r="D43" s="1" t="s">
        <v>407</v>
      </c>
      <c r="E43" s="1" t="s">
        <v>408</v>
      </c>
      <c r="F43" s="1" t="s">
        <v>409</v>
      </c>
      <c r="G43" s="5" t="s">
        <v>410</v>
      </c>
      <c r="H43" s="1" t="s">
        <v>411</v>
      </c>
      <c r="I43" s="2">
        <v>46086</v>
      </c>
      <c r="J43" s="33">
        <f t="shared" si="6"/>
        <v>48110</v>
      </c>
      <c r="K43" s="3">
        <v>2120</v>
      </c>
      <c r="L43" s="3">
        <v>44990</v>
      </c>
      <c r="M43" s="3">
        <v>0</v>
      </c>
      <c r="N43" s="3">
        <v>0</v>
      </c>
      <c r="O43" s="3">
        <v>1000</v>
      </c>
      <c r="P43" s="1" t="s">
        <v>412</v>
      </c>
      <c r="Q43" s="3">
        <v>4361796</v>
      </c>
      <c r="R43" s="25">
        <f t="shared" si="7"/>
        <v>90.662980669299529</v>
      </c>
      <c r="S43" s="32">
        <f>J43</f>
        <v>48110</v>
      </c>
      <c r="T43" s="3">
        <f t="shared" si="8"/>
        <v>0</v>
      </c>
      <c r="U43" s="1" t="s">
        <v>3615</v>
      </c>
      <c r="V43" s="16">
        <v>1</v>
      </c>
      <c r="W43" s="28">
        <f t="shared" si="4"/>
        <v>1</v>
      </c>
      <c r="X43" s="27">
        <f t="shared" si="9"/>
        <v>1</v>
      </c>
      <c r="Y43" s="18"/>
      <c r="Z43" s="19"/>
    </row>
    <row r="44" spans="1:26" x14ac:dyDescent="0.35">
      <c r="A44" s="29">
        <v>1</v>
      </c>
      <c r="B44" s="1" t="s">
        <v>3617</v>
      </c>
      <c r="C44" s="1"/>
      <c r="D44" s="1" t="s">
        <v>240</v>
      </c>
      <c r="E44" s="1" t="s">
        <v>241</v>
      </c>
      <c r="F44" s="1" t="s">
        <v>242</v>
      </c>
      <c r="G44" s="5" t="s">
        <v>243</v>
      </c>
      <c r="H44" s="1" t="s">
        <v>17</v>
      </c>
      <c r="I44" s="2">
        <v>46086</v>
      </c>
      <c r="J44" s="33">
        <f t="shared" si="6"/>
        <v>61008</v>
      </c>
      <c r="K44" s="3">
        <v>6462</v>
      </c>
      <c r="L44" s="3">
        <v>48546</v>
      </c>
      <c r="M44" s="3">
        <v>5000</v>
      </c>
      <c r="N44" s="3">
        <v>0</v>
      </c>
      <c r="O44" s="3">
        <v>1000</v>
      </c>
      <c r="P44" s="1" t="s">
        <v>244</v>
      </c>
      <c r="Q44" s="3">
        <v>22957</v>
      </c>
      <c r="R44" s="25">
        <f t="shared" si="7"/>
        <v>0.3762949121426698</v>
      </c>
      <c r="S44" s="32">
        <f>Q44</f>
        <v>22957</v>
      </c>
      <c r="T44" s="31">
        <f t="shared" si="8"/>
        <v>-38051</v>
      </c>
      <c r="U44" s="1" t="s">
        <v>3616</v>
      </c>
      <c r="V44" s="16"/>
      <c r="W44" s="30">
        <f t="shared" si="4"/>
        <v>0</v>
      </c>
      <c r="X44" s="27">
        <f t="shared" si="9"/>
        <v>0.3762949121426698</v>
      </c>
      <c r="Y44" s="18"/>
      <c r="Z44" s="19"/>
    </row>
    <row r="45" spans="1:26" x14ac:dyDescent="0.35">
      <c r="A45" s="29">
        <v>1</v>
      </c>
      <c r="B45" s="1" t="s">
        <v>3617</v>
      </c>
      <c r="C45" s="1"/>
      <c r="D45" s="1" t="s">
        <v>185</v>
      </c>
      <c r="E45" s="1" t="s">
        <v>186</v>
      </c>
      <c r="F45" s="1" t="s">
        <v>187</v>
      </c>
      <c r="G45" s="5" t="s">
        <v>188</v>
      </c>
      <c r="H45" s="1" t="s">
        <v>17</v>
      </c>
      <c r="I45" s="2">
        <v>46086</v>
      </c>
      <c r="J45" s="33">
        <f t="shared" si="6"/>
        <v>151020</v>
      </c>
      <c r="K45" s="3">
        <v>19304</v>
      </c>
      <c r="L45" s="3">
        <v>118216</v>
      </c>
      <c r="M45" s="3">
        <v>12500</v>
      </c>
      <c r="N45" s="3">
        <v>0</v>
      </c>
      <c r="O45" s="3">
        <v>1000</v>
      </c>
      <c r="P45" s="1" t="s">
        <v>189</v>
      </c>
      <c r="Q45" s="3">
        <v>74072</v>
      </c>
      <c r="R45" s="25">
        <f t="shared" si="7"/>
        <v>0.49047808237319562</v>
      </c>
      <c r="S45" s="32">
        <f>Q45</f>
        <v>74072</v>
      </c>
      <c r="T45" s="31">
        <f t="shared" si="8"/>
        <v>-76948</v>
      </c>
      <c r="U45" s="1" t="s">
        <v>3616</v>
      </c>
      <c r="V45" s="16"/>
      <c r="W45" s="30">
        <f t="shared" si="4"/>
        <v>0</v>
      </c>
      <c r="X45" s="27">
        <f t="shared" si="9"/>
        <v>0.49047808237319562</v>
      </c>
      <c r="Y45" s="18"/>
      <c r="Z45" s="19"/>
    </row>
    <row r="46" spans="1:26" x14ac:dyDescent="0.35">
      <c r="A46" s="29">
        <v>1</v>
      </c>
      <c r="B46" s="1" t="s">
        <v>3617</v>
      </c>
      <c r="C46" s="1"/>
      <c r="D46" s="1" t="s">
        <v>64</v>
      </c>
      <c r="E46" s="1" t="s">
        <v>65</v>
      </c>
      <c r="F46" s="1" t="s">
        <v>66</v>
      </c>
      <c r="G46" s="5" t="s">
        <v>67</v>
      </c>
      <c r="H46" s="1" t="s">
        <v>17</v>
      </c>
      <c r="I46" s="2">
        <v>46086</v>
      </c>
      <c r="J46" s="33">
        <f t="shared" si="6"/>
        <v>301040</v>
      </c>
      <c r="K46" s="3">
        <v>38791</v>
      </c>
      <c r="L46" s="3">
        <v>236249</v>
      </c>
      <c r="M46" s="3">
        <v>25000</v>
      </c>
      <c r="N46" s="3">
        <v>0</v>
      </c>
      <c r="O46" s="3">
        <v>1000</v>
      </c>
      <c r="P46" s="1" t="s">
        <v>68</v>
      </c>
      <c r="Q46" s="3">
        <v>559163</v>
      </c>
      <c r="R46" s="25">
        <f t="shared" si="7"/>
        <v>1.8574375498272655</v>
      </c>
      <c r="S46" s="32">
        <f t="shared" ref="S46:S53" si="10">J46</f>
        <v>301040</v>
      </c>
      <c r="T46" s="3">
        <f t="shared" si="8"/>
        <v>0</v>
      </c>
      <c r="U46" s="1" t="s">
        <v>3615</v>
      </c>
      <c r="V46" s="16">
        <v>1</v>
      </c>
      <c r="W46" s="28">
        <f t="shared" si="4"/>
        <v>1</v>
      </c>
      <c r="X46" s="27">
        <f t="shared" si="9"/>
        <v>1</v>
      </c>
      <c r="Y46" s="18"/>
      <c r="Z46" s="19"/>
    </row>
    <row r="47" spans="1:26" x14ac:dyDescent="0.35">
      <c r="A47" s="29">
        <v>1</v>
      </c>
      <c r="B47" s="1" t="s">
        <v>3617</v>
      </c>
      <c r="C47" s="1"/>
      <c r="D47" s="1" t="s">
        <v>491</v>
      </c>
      <c r="E47" s="1" t="s">
        <v>492</v>
      </c>
      <c r="F47" s="1" t="s">
        <v>493</v>
      </c>
      <c r="G47" s="5" t="s">
        <v>494</v>
      </c>
      <c r="H47" s="1" t="s">
        <v>32</v>
      </c>
      <c r="I47" s="2">
        <v>46086</v>
      </c>
      <c r="J47" s="33">
        <f t="shared" si="6"/>
        <v>280356</v>
      </c>
      <c r="K47" s="3">
        <v>52950</v>
      </c>
      <c r="L47" s="3">
        <v>204184</v>
      </c>
      <c r="M47" s="3">
        <v>22222</v>
      </c>
      <c r="N47" s="3">
        <v>0</v>
      </c>
      <c r="O47" s="3">
        <v>1000</v>
      </c>
      <c r="P47" s="1" t="s">
        <v>495</v>
      </c>
      <c r="Q47" s="3">
        <v>441370</v>
      </c>
      <c r="R47" s="25">
        <f t="shared" si="7"/>
        <v>1.5743197934055273</v>
      </c>
      <c r="S47" s="32">
        <f t="shared" si="10"/>
        <v>280356</v>
      </c>
      <c r="T47" s="3">
        <f t="shared" si="8"/>
        <v>0</v>
      </c>
      <c r="U47" s="1" t="s">
        <v>3615</v>
      </c>
      <c r="V47" s="16">
        <v>1</v>
      </c>
      <c r="W47" s="28">
        <f t="shared" si="4"/>
        <v>1</v>
      </c>
      <c r="X47" s="27">
        <f t="shared" si="9"/>
        <v>1</v>
      </c>
      <c r="Y47" s="18"/>
      <c r="Z47" s="19"/>
    </row>
    <row r="48" spans="1:26" x14ac:dyDescent="0.35">
      <c r="A48" s="29">
        <v>1</v>
      </c>
      <c r="B48" s="1" t="s">
        <v>3617</v>
      </c>
      <c r="C48" s="1"/>
      <c r="D48" s="1" t="s">
        <v>78</v>
      </c>
      <c r="E48" s="1" t="s">
        <v>79</v>
      </c>
      <c r="F48" s="1" t="s">
        <v>80</v>
      </c>
      <c r="G48" s="5" t="s">
        <v>81</v>
      </c>
      <c r="H48" s="1" t="s">
        <v>17</v>
      </c>
      <c r="I48" s="2">
        <v>46086</v>
      </c>
      <c r="J48" s="33">
        <f t="shared" si="6"/>
        <v>70362</v>
      </c>
      <c r="K48" s="3">
        <v>13315</v>
      </c>
      <c r="L48" s="3">
        <v>50491</v>
      </c>
      <c r="M48" s="3">
        <v>5556</v>
      </c>
      <c r="N48" s="3">
        <v>0</v>
      </c>
      <c r="O48" s="3">
        <v>1000</v>
      </c>
      <c r="P48" s="1" t="s">
        <v>82</v>
      </c>
      <c r="Q48" s="3">
        <v>129461</v>
      </c>
      <c r="R48" s="25">
        <f t="shared" si="7"/>
        <v>1.8399278019385463</v>
      </c>
      <c r="S48" s="32">
        <f t="shared" si="10"/>
        <v>70362</v>
      </c>
      <c r="T48" s="3">
        <f t="shared" si="8"/>
        <v>0</v>
      </c>
      <c r="U48" s="1" t="s">
        <v>3615</v>
      </c>
      <c r="V48" s="16">
        <v>1</v>
      </c>
      <c r="W48" s="28">
        <f t="shared" si="4"/>
        <v>1</v>
      </c>
      <c r="X48" s="27">
        <f t="shared" si="9"/>
        <v>1</v>
      </c>
      <c r="Y48" s="18"/>
      <c r="Z48" s="19"/>
    </row>
    <row r="49" spans="1:26" x14ac:dyDescent="0.35">
      <c r="A49" s="29">
        <v>1</v>
      </c>
      <c r="B49" s="1" t="s">
        <v>3617</v>
      </c>
      <c r="C49" s="1"/>
      <c r="D49" s="1" t="s">
        <v>69</v>
      </c>
      <c r="E49" s="1" t="s">
        <v>70</v>
      </c>
      <c r="F49" s="1" t="s">
        <v>71</v>
      </c>
      <c r="G49" s="5" t="s">
        <v>72</v>
      </c>
      <c r="H49" s="1" t="s">
        <v>17</v>
      </c>
      <c r="I49" s="2">
        <v>46086</v>
      </c>
      <c r="J49" s="33">
        <f t="shared" si="6"/>
        <v>101013</v>
      </c>
      <c r="K49" s="3">
        <v>12930</v>
      </c>
      <c r="L49" s="3">
        <v>78750</v>
      </c>
      <c r="M49" s="3">
        <v>8333</v>
      </c>
      <c r="N49" s="3">
        <v>0</v>
      </c>
      <c r="O49" s="3">
        <v>1000</v>
      </c>
      <c r="P49" s="1" t="s">
        <v>73</v>
      </c>
      <c r="Q49" s="3">
        <v>242143</v>
      </c>
      <c r="R49" s="25">
        <f t="shared" si="7"/>
        <v>2.3971469018839158</v>
      </c>
      <c r="S49" s="32">
        <f t="shared" si="10"/>
        <v>101013</v>
      </c>
      <c r="T49" s="3">
        <f t="shared" si="8"/>
        <v>0</v>
      </c>
      <c r="U49" s="1" t="s">
        <v>3615</v>
      </c>
      <c r="V49" s="16">
        <v>1</v>
      </c>
      <c r="W49" s="28">
        <f t="shared" si="4"/>
        <v>1</v>
      </c>
      <c r="X49" s="27">
        <f t="shared" si="9"/>
        <v>1</v>
      </c>
      <c r="Y49" s="18"/>
      <c r="Z49" s="19"/>
    </row>
    <row r="50" spans="1:26" x14ac:dyDescent="0.35">
      <c r="A50" s="29">
        <v>1</v>
      </c>
      <c r="B50" s="1" t="s">
        <v>3617</v>
      </c>
      <c r="C50" s="1"/>
      <c r="D50" s="1" t="s">
        <v>506</v>
      </c>
      <c r="E50" s="1" t="s">
        <v>507</v>
      </c>
      <c r="F50" s="1" t="s">
        <v>508</v>
      </c>
      <c r="G50" s="5" t="s">
        <v>509</v>
      </c>
      <c r="H50" s="1" t="s">
        <v>17</v>
      </c>
      <c r="I50" s="2">
        <v>46086</v>
      </c>
      <c r="J50" s="33">
        <f t="shared" si="6"/>
        <v>101013</v>
      </c>
      <c r="K50" s="3">
        <v>12924</v>
      </c>
      <c r="L50" s="3">
        <v>78756</v>
      </c>
      <c r="M50" s="3">
        <v>8333</v>
      </c>
      <c r="N50" s="3">
        <v>0</v>
      </c>
      <c r="O50" s="3">
        <v>1000</v>
      </c>
      <c r="P50" s="1" t="s">
        <v>510</v>
      </c>
      <c r="Q50" s="3">
        <v>170170</v>
      </c>
      <c r="R50" s="25">
        <f t="shared" si="7"/>
        <v>1.6846346509855168</v>
      </c>
      <c r="S50" s="32">
        <f t="shared" si="10"/>
        <v>101013</v>
      </c>
      <c r="T50" s="3">
        <f t="shared" si="8"/>
        <v>0</v>
      </c>
      <c r="U50" s="1" t="s">
        <v>3615</v>
      </c>
      <c r="V50" s="16">
        <v>1</v>
      </c>
      <c r="W50" s="28">
        <f t="shared" si="4"/>
        <v>1</v>
      </c>
      <c r="X50" s="27">
        <f t="shared" si="9"/>
        <v>1</v>
      </c>
      <c r="Y50" s="18"/>
      <c r="Z50" s="19"/>
    </row>
    <row r="51" spans="1:26" x14ac:dyDescent="0.35">
      <c r="A51" s="29">
        <v>1</v>
      </c>
      <c r="B51" s="1" t="s">
        <v>3617</v>
      </c>
      <c r="C51" s="1"/>
      <c r="D51" s="1" t="s">
        <v>496</v>
      </c>
      <c r="E51" s="1" t="s">
        <v>497</v>
      </c>
      <c r="F51" s="1" t="s">
        <v>498</v>
      </c>
      <c r="G51" s="5" t="s">
        <v>499</v>
      </c>
      <c r="H51" s="1" t="s">
        <v>17</v>
      </c>
      <c r="I51" s="2">
        <v>46086</v>
      </c>
      <c r="J51" s="33">
        <f t="shared" si="6"/>
        <v>105042</v>
      </c>
      <c r="K51" s="3">
        <v>19963</v>
      </c>
      <c r="L51" s="3">
        <v>75746</v>
      </c>
      <c r="M51" s="3">
        <v>8333</v>
      </c>
      <c r="N51" s="3">
        <v>0</v>
      </c>
      <c r="O51" s="3">
        <v>1000</v>
      </c>
      <c r="P51" s="1" t="s">
        <v>500</v>
      </c>
      <c r="Q51" s="3">
        <v>166840</v>
      </c>
      <c r="R51" s="25">
        <f t="shared" si="7"/>
        <v>1.5883170541307288</v>
      </c>
      <c r="S51" s="32">
        <f t="shared" si="10"/>
        <v>105042</v>
      </c>
      <c r="T51" s="3">
        <f t="shared" si="8"/>
        <v>0</v>
      </c>
      <c r="U51" s="1" t="s">
        <v>3615</v>
      </c>
      <c r="V51" s="16">
        <v>1</v>
      </c>
      <c r="W51" s="28">
        <f t="shared" si="4"/>
        <v>1</v>
      </c>
      <c r="X51" s="27">
        <f t="shared" si="9"/>
        <v>1</v>
      </c>
      <c r="Y51" s="18"/>
      <c r="Z51" s="19"/>
    </row>
    <row r="52" spans="1:26" x14ac:dyDescent="0.35">
      <c r="A52" s="29">
        <v>1</v>
      </c>
      <c r="B52" s="1" t="s">
        <v>3617</v>
      </c>
      <c r="C52" s="1"/>
      <c r="D52" s="1" t="s">
        <v>496</v>
      </c>
      <c r="E52" s="1" t="s">
        <v>497</v>
      </c>
      <c r="F52" s="1" t="s">
        <v>498</v>
      </c>
      <c r="G52" s="5" t="s">
        <v>499</v>
      </c>
      <c r="H52" s="1" t="s">
        <v>17</v>
      </c>
      <c r="I52" s="2">
        <v>46086</v>
      </c>
      <c r="J52" s="33">
        <f t="shared" si="6"/>
        <v>105042</v>
      </c>
      <c r="K52" s="3">
        <v>19963</v>
      </c>
      <c r="L52" s="3">
        <v>75746</v>
      </c>
      <c r="M52" s="3">
        <v>8333</v>
      </c>
      <c r="N52" s="3">
        <v>0</v>
      </c>
      <c r="O52" s="3">
        <v>1000</v>
      </c>
      <c r="P52" s="1" t="s">
        <v>500</v>
      </c>
      <c r="Q52" s="3">
        <v>166840</v>
      </c>
      <c r="R52" s="25">
        <f t="shared" si="7"/>
        <v>1.5883170541307288</v>
      </c>
      <c r="S52" s="32">
        <f t="shared" si="10"/>
        <v>105042</v>
      </c>
      <c r="T52" s="3">
        <f t="shared" si="8"/>
        <v>0</v>
      </c>
      <c r="U52" s="1" t="s">
        <v>3615</v>
      </c>
      <c r="V52" s="16">
        <v>1</v>
      </c>
      <c r="W52" s="28">
        <f t="shared" si="4"/>
        <v>1</v>
      </c>
      <c r="X52" s="27">
        <f t="shared" si="9"/>
        <v>1</v>
      </c>
      <c r="Y52" s="18"/>
      <c r="Z52" s="19"/>
    </row>
    <row r="53" spans="1:26" x14ac:dyDescent="0.35">
      <c r="A53" s="29">
        <v>1</v>
      </c>
      <c r="B53" s="1" t="s">
        <v>3617</v>
      </c>
      <c r="C53" s="1"/>
      <c r="D53" s="1" t="s">
        <v>501</v>
      </c>
      <c r="E53" s="1" t="s">
        <v>502</v>
      </c>
      <c r="F53" s="1" t="s">
        <v>503</v>
      </c>
      <c r="G53" s="5" t="s">
        <v>504</v>
      </c>
      <c r="H53" s="1" t="s">
        <v>17</v>
      </c>
      <c r="I53" s="2">
        <v>46086</v>
      </c>
      <c r="J53" s="33">
        <f t="shared" si="6"/>
        <v>31004</v>
      </c>
      <c r="K53" s="3">
        <v>3877</v>
      </c>
      <c r="L53" s="3">
        <v>23627</v>
      </c>
      <c r="M53" s="3">
        <v>2500</v>
      </c>
      <c r="N53" s="3">
        <v>0</v>
      </c>
      <c r="O53" s="3">
        <v>1000</v>
      </c>
      <c r="P53" s="1" t="s">
        <v>505</v>
      </c>
      <c r="Q53" s="3">
        <v>49238</v>
      </c>
      <c r="R53" s="25">
        <f t="shared" si="7"/>
        <v>1.5881176622371307</v>
      </c>
      <c r="S53" s="32">
        <f t="shared" si="10"/>
        <v>31004</v>
      </c>
      <c r="T53" s="3">
        <f t="shared" si="8"/>
        <v>0</v>
      </c>
      <c r="U53" s="1" t="s">
        <v>3615</v>
      </c>
      <c r="V53" s="16">
        <v>1</v>
      </c>
      <c r="W53" s="28">
        <f t="shared" si="4"/>
        <v>1</v>
      </c>
      <c r="X53" s="27">
        <f t="shared" si="9"/>
        <v>1</v>
      </c>
      <c r="Y53" s="18"/>
      <c r="Z53" s="19"/>
    </row>
    <row r="54" spans="1:26" x14ac:dyDescent="0.35">
      <c r="A54" s="29">
        <v>1</v>
      </c>
      <c r="B54" s="1" t="s">
        <v>3617</v>
      </c>
      <c r="C54" s="1"/>
      <c r="D54" s="1" t="s">
        <v>122</v>
      </c>
      <c r="E54" s="1" t="s">
        <v>123</v>
      </c>
      <c r="F54" s="1" t="s">
        <v>124</v>
      </c>
      <c r="G54" s="5" t="s">
        <v>125</v>
      </c>
      <c r="H54" s="1" t="s">
        <v>17</v>
      </c>
      <c r="I54" s="2">
        <v>46086</v>
      </c>
      <c r="J54" s="33">
        <f t="shared" si="6"/>
        <v>81392</v>
      </c>
      <c r="K54" s="3">
        <v>6211</v>
      </c>
      <c r="L54" s="3">
        <v>67514</v>
      </c>
      <c r="M54" s="3">
        <v>6667</v>
      </c>
      <c r="N54" s="3">
        <v>0</v>
      </c>
      <c r="O54" s="3">
        <v>1000</v>
      </c>
      <c r="P54" s="1" t="s">
        <v>126</v>
      </c>
      <c r="Q54" s="3">
        <v>47069</v>
      </c>
      <c r="R54" s="25">
        <f t="shared" si="7"/>
        <v>0.57830007863180655</v>
      </c>
      <c r="S54" s="32">
        <f>Q54</f>
        <v>47069</v>
      </c>
      <c r="T54" s="31">
        <f t="shared" si="8"/>
        <v>-34323</v>
      </c>
      <c r="U54" s="1" t="s">
        <v>3616</v>
      </c>
      <c r="V54" s="16"/>
      <c r="W54" s="30">
        <f t="shared" si="4"/>
        <v>0</v>
      </c>
      <c r="X54" s="27">
        <f t="shared" si="9"/>
        <v>0.57830007863180655</v>
      </c>
      <c r="Y54" s="18"/>
      <c r="Z54" s="19"/>
    </row>
    <row r="55" spans="1:26" x14ac:dyDescent="0.35">
      <c r="A55" s="29">
        <v>1</v>
      </c>
      <c r="B55" s="1" t="s">
        <v>3617</v>
      </c>
      <c r="C55" s="1"/>
      <c r="D55" s="1" t="s">
        <v>432</v>
      </c>
      <c r="E55" s="1" t="s">
        <v>433</v>
      </c>
      <c r="F55" s="1" t="s">
        <v>434</v>
      </c>
      <c r="G55" s="5" t="s">
        <v>435</v>
      </c>
      <c r="H55" s="1" t="s">
        <v>17</v>
      </c>
      <c r="I55" s="2">
        <v>46086</v>
      </c>
      <c r="J55" s="33">
        <f t="shared" si="6"/>
        <v>131017</v>
      </c>
      <c r="K55" s="3">
        <v>11072</v>
      </c>
      <c r="L55" s="3">
        <v>108112</v>
      </c>
      <c r="M55" s="3">
        <v>10833</v>
      </c>
      <c r="N55" s="3">
        <v>0</v>
      </c>
      <c r="O55" s="3">
        <v>1000</v>
      </c>
      <c r="P55" s="1" t="s">
        <v>436</v>
      </c>
      <c r="Q55" s="3">
        <v>161424</v>
      </c>
      <c r="R55" s="25">
        <f t="shared" si="7"/>
        <v>1.2320843859957105</v>
      </c>
      <c r="S55" s="32">
        <f>J55</f>
        <v>131017</v>
      </c>
      <c r="T55" s="3">
        <f t="shared" si="8"/>
        <v>0</v>
      </c>
      <c r="U55" s="1" t="s">
        <v>3615</v>
      </c>
      <c r="V55" s="16">
        <v>1</v>
      </c>
      <c r="W55" s="28">
        <f t="shared" si="4"/>
        <v>1</v>
      </c>
      <c r="X55" s="27">
        <f t="shared" si="9"/>
        <v>1</v>
      </c>
      <c r="Y55" s="18"/>
      <c r="Z55" s="19"/>
    </row>
    <row r="56" spans="1:26" x14ac:dyDescent="0.35">
      <c r="A56" s="29">
        <v>1</v>
      </c>
      <c r="B56" s="1" t="s">
        <v>3617</v>
      </c>
      <c r="C56" s="1"/>
      <c r="D56" s="1" t="s">
        <v>50</v>
      </c>
      <c r="E56" s="1" t="s">
        <v>51</v>
      </c>
      <c r="F56" s="1" t="s">
        <v>52</v>
      </c>
      <c r="G56" s="5" t="s">
        <v>53</v>
      </c>
      <c r="H56" s="1" t="s">
        <v>17</v>
      </c>
      <c r="I56" s="2">
        <v>46086</v>
      </c>
      <c r="J56" s="33">
        <f t="shared" si="6"/>
        <v>51007</v>
      </c>
      <c r="K56" s="3">
        <v>5879</v>
      </c>
      <c r="L56" s="3">
        <v>39961</v>
      </c>
      <c r="M56" s="3">
        <v>4167</v>
      </c>
      <c r="N56" s="3">
        <v>0</v>
      </c>
      <c r="O56" s="3">
        <v>1000</v>
      </c>
      <c r="P56" s="1" t="s">
        <v>54</v>
      </c>
      <c r="Q56" s="3">
        <v>205106</v>
      </c>
      <c r="R56" s="25">
        <f t="shared" si="7"/>
        <v>4.02113435410826</v>
      </c>
      <c r="S56" s="32">
        <f>J56</f>
        <v>51007</v>
      </c>
      <c r="T56" s="3">
        <f t="shared" si="8"/>
        <v>0</v>
      </c>
      <c r="U56" s="1" t="s">
        <v>3615</v>
      </c>
      <c r="V56" s="16">
        <v>1</v>
      </c>
      <c r="W56" s="28">
        <f t="shared" si="4"/>
        <v>1</v>
      </c>
      <c r="X56" s="27">
        <f t="shared" si="9"/>
        <v>1</v>
      </c>
      <c r="Y56" s="18"/>
      <c r="Z56" s="19"/>
    </row>
    <row r="57" spans="1:26" x14ac:dyDescent="0.35">
      <c r="A57" s="29">
        <v>1</v>
      </c>
      <c r="B57" s="1" t="s">
        <v>3617</v>
      </c>
      <c r="C57" s="1"/>
      <c r="D57" s="1" t="s">
        <v>427</v>
      </c>
      <c r="E57" s="1" t="s">
        <v>428</v>
      </c>
      <c r="F57" s="1" t="s">
        <v>429</v>
      </c>
      <c r="G57" s="5" t="s">
        <v>430</v>
      </c>
      <c r="H57" s="1" t="s">
        <v>17</v>
      </c>
      <c r="I57" s="2">
        <v>46086</v>
      </c>
      <c r="J57" s="33">
        <f t="shared" si="6"/>
        <v>81011</v>
      </c>
      <c r="K57" s="3">
        <v>6813</v>
      </c>
      <c r="L57" s="3">
        <v>66531</v>
      </c>
      <c r="M57" s="3">
        <v>6667</v>
      </c>
      <c r="N57" s="3">
        <v>0</v>
      </c>
      <c r="O57" s="3">
        <v>1000</v>
      </c>
      <c r="P57" s="1" t="s">
        <v>431</v>
      </c>
      <c r="Q57" s="3">
        <v>112506</v>
      </c>
      <c r="R57" s="25">
        <f t="shared" si="7"/>
        <v>1.3887743639752625</v>
      </c>
      <c r="S57" s="32">
        <f>J57</f>
        <v>81011</v>
      </c>
      <c r="T57" s="3">
        <f t="shared" si="8"/>
        <v>0</v>
      </c>
      <c r="U57" s="1" t="s">
        <v>3615</v>
      </c>
      <c r="V57" s="16">
        <v>1</v>
      </c>
      <c r="W57" s="28">
        <f t="shared" si="4"/>
        <v>1</v>
      </c>
      <c r="X57" s="27">
        <f t="shared" si="9"/>
        <v>1</v>
      </c>
      <c r="Y57" s="18"/>
      <c r="Z57" s="19"/>
    </row>
    <row r="58" spans="1:26" x14ac:dyDescent="0.35">
      <c r="A58" s="29">
        <v>1</v>
      </c>
      <c r="B58" s="1" t="s">
        <v>3617</v>
      </c>
      <c r="C58" s="1"/>
      <c r="D58" s="1" t="s">
        <v>511</v>
      </c>
      <c r="E58" s="1" t="s">
        <v>512</v>
      </c>
      <c r="F58" s="1" t="s">
        <v>513</v>
      </c>
      <c r="G58" s="5" t="s">
        <v>514</v>
      </c>
      <c r="H58" s="1" t="s">
        <v>17</v>
      </c>
      <c r="I58" s="2">
        <v>46086</v>
      </c>
      <c r="J58" s="33">
        <f t="shared" si="6"/>
        <v>81392</v>
      </c>
      <c r="K58" s="3">
        <v>10926</v>
      </c>
      <c r="L58" s="3">
        <v>62799</v>
      </c>
      <c r="M58" s="3">
        <v>6667</v>
      </c>
      <c r="N58" s="3">
        <v>0</v>
      </c>
      <c r="O58" s="3">
        <v>1000</v>
      </c>
      <c r="P58" s="1" t="s">
        <v>515</v>
      </c>
      <c r="Q58" s="3">
        <v>189608</v>
      </c>
      <c r="R58" s="25">
        <f t="shared" si="7"/>
        <v>2.3295655592687243</v>
      </c>
      <c r="S58" s="32">
        <f>J58</f>
        <v>81392</v>
      </c>
      <c r="T58" s="3">
        <f t="shared" si="8"/>
        <v>0</v>
      </c>
      <c r="U58" s="1" t="s">
        <v>3615</v>
      </c>
      <c r="V58" s="16">
        <v>1</v>
      </c>
      <c r="W58" s="28">
        <f t="shared" si="4"/>
        <v>1</v>
      </c>
      <c r="X58" s="27">
        <f t="shared" si="9"/>
        <v>1</v>
      </c>
      <c r="Y58" s="18"/>
      <c r="Z58" s="19"/>
    </row>
    <row r="59" spans="1:26" x14ac:dyDescent="0.35">
      <c r="A59" s="29">
        <v>1</v>
      </c>
      <c r="B59" s="1" t="s">
        <v>3617</v>
      </c>
      <c r="C59" s="1"/>
      <c r="D59" s="1" t="s">
        <v>113</v>
      </c>
      <c r="E59" s="1" t="s">
        <v>114</v>
      </c>
      <c r="F59" s="1" t="s">
        <v>115</v>
      </c>
      <c r="G59" s="5" t="s">
        <v>116</v>
      </c>
      <c r="H59" s="1" t="s">
        <v>17</v>
      </c>
      <c r="I59" s="2">
        <v>46086</v>
      </c>
      <c r="J59" s="33">
        <f t="shared" si="6"/>
        <v>31004</v>
      </c>
      <c r="K59" s="3">
        <v>1121</v>
      </c>
      <c r="L59" s="3">
        <v>26383</v>
      </c>
      <c r="M59" s="3">
        <v>2500</v>
      </c>
      <c r="N59" s="3">
        <v>0</v>
      </c>
      <c r="O59" s="3">
        <v>1000</v>
      </c>
      <c r="P59" s="1" t="s">
        <v>117</v>
      </c>
      <c r="Q59" s="3">
        <v>10418</v>
      </c>
      <c r="R59" s="25">
        <f t="shared" si="7"/>
        <v>0.33602115856018577</v>
      </c>
      <c r="S59" s="32">
        <f>Q59</f>
        <v>10418</v>
      </c>
      <c r="T59" s="31">
        <f t="shared" si="8"/>
        <v>-20586</v>
      </c>
      <c r="U59" s="1" t="s">
        <v>3616</v>
      </c>
      <c r="V59" s="16"/>
      <c r="W59" s="30">
        <f t="shared" si="4"/>
        <v>0</v>
      </c>
      <c r="X59" s="27">
        <f t="shared" si="9"/>
        <v>0.33602115856018577</v>
      </c>
      <c r="Y59" s="18"/>
      <c r="Z59" s="19"/>
    </row>
    <row r="60" spans="1:26" x14ac:dyDescent="0.35">
      <c r="A60" s="29">
        <v>1</v>
      </c>
      <c r="B60" s="1" t="s">
        <v>3617</v>
      </c>
      <c r="C60" s="1"/>
      <c r="D60" s="1" t="s">
        <v>454</v>
      </c>
      <c r="E60" s="1" t="s">
        <v>455</v>
      </c>
      <c r="F60" s="1" t="s">
        <v>456</v>
      </c>
      <c r="G60" s="5" t="s">
        <v>457</v>
      </c>
      <c r="H60" s="1" t="s">
        <v>17</v>
      </c>
      <c r="I60" s="2">
        <v>46086</v>
      </c>
      <c r="J60" s="33">
        <f t="shared" si="6"/>
        <v>31004</v>
      </c>
      <c r="K60" s="3">
        <v>2873</v>
      </c>
      <c r="L60" s="3">
        <v>24631</v>
      </c>
      <c r="M60" s="3">
        <v>2500</v>
      </c>
      <c r="N60" s="3">
        <v>0</v>
      </c>
      <c r="O60" s="3">
        <v>1000</v>
      </c>
      <c r="P60" s="1" t="s">
        <v>458</v>
      </c>
      <c r="Q60" s="3">
        <v>52862</v>
      </c>
      <c r="R60" s="25">
        <f t="shared" si="7"/>
        <v>1.7050058057024899</v>
      </c>
      <c r="S60" s="32">
        <f>J60</f>
        <v>31004</v>
      </c>
      <c r="T60" s="3">
        <f t="shared" si="8"/>
        <v>0</v>
      </c>
      <c r="U60" s="1" t="s">
        <v>3615</v>
      </c>
      <c r="V60" s="16">
        <v>1</v>
      </c>
      <c r="W60" s="28">
        <f t="shared" si="4"/>
        <v>1</v>
      </c>
      <c r="X60" s="27">
        <f t="shared" si="9"/>
        <v>1</v>
      </c>
      <c r="Y60" s="18"/>
      <c r="Z60" s="19"/>
    </row>
    <row r="61" spans="1:26" x14ac:dyDescent="0.35">
      <c r="A61" s="29">
        <v>1</v>
      </c>
      <c r="B61" s="1" t="s">
        <v>3617</v>
      </c>
      <c r="C61" s="1"/>
      <c r="D61" s="1" t="s">
        <v>463</v>
      </c>
      <c r="E61" s="1" t="s">
        <v>464</v>
      </c>
      <c r="F61" s="1" t="s">
        <v>465</v>
      </c>
      <c r="G61" s="5" t="s">
        <v>466</v>
      </c>
      <c r="H61" s="1" t="s">
        <v>467</v>
      </c>
      <c r="I61" s="2">
        <v>46086</v>
      </c>
      <c r="J61" s="33">
        <f t="shared" si="6"/>
        <v>22401</v>
      </c>
      <c r="K61" s="3">
        <v>1421</v>
      </c>
      <c r="L61" s="3">
        <v>19980</v>
      </c>
      <c r="M61" s="3">
        <v>0</v>
      </c>
      <c r="N61" s="3">
        <v>0</v>
      </c>
      <c r="O61" s="3">
        <v>1000</v>
      </c>
      <c r="P61" s="1" t="s">
        <v>468</v>
      </c>
      <c r="Q61" s="3">
        <v>35198</v>
      </c>
      <c r="R61" s="25">
        <f t="shared" si="7"/>
        <v>1.5712691397705461</v>
      </c>
      <c r="S61" s="32">
        <f>J61</f>
        <v>22401</v>
      </c>
      <c r="T61" s="3">
        <f t="shared" si="8"/>
        <v>0</v>
      </c>
      <c r="U61" s="1" t="s">
        <v>3615</v>
      </c>
      <c r="V61" s="16">
        <v>1</v>
      </c>
      <c r="W61" s="28">
        <f t="shared" si="4"/>
        <v>1</v>
      </c>
      <c r="X61" s="27">
        <f t="shared" si="9"/>
        <v>1</v>
      </c>
      <c r="Y61" s="18"/>
      <c r="Z61" s="19"/>
    </row>
    <row r="62" spans="1:26" x14ac:dyDescent="0.35">
      <c r="A62" s="29">
        <v>1</v>
      </c>
      <c r="B62" s="1" t="s">
        <v>3617</v>
      </c>
      <c r="C62" s="1"/>
      <c r="D62" s="1" t="s">
        <v>525</v>
      </c>
      <c r="E62" s="1" t="s">
        <v>526</v>
      </c>
      <c r="F62" s="1" t="s">
        <v>527</v>
      </c>
      <c r="G62" s="5" t="s">
        <v>528</v>
      </c>
      <c r="H62" s="1" t="s">
        <v>17</v>
      </c>
      <c r="I62" s="2">
        <v>46086</v>
      </c>
      <c r="J62" s="33">
        <f t="shared" si="6"/>
        <v>61008</v>
      </c>
      <c r="K62" s="3">
        <v>7734</v>
      </c>
      <c r="L62" s="3">
        <v>47274</v>
      </c>
      <c r="M62" s="3">
        <v>5000</v>
      </c>
      <c r="N62" s="3">
        <v>0</v>
      </c>
      <c r="O62" s="3">
        <v>1000</v>
      </c>
      <c r="P62" s="1" t="s">
        <v>529</v>
      </c>
      <c r="Q62" s="3">
        <v>180274</v>
      </c>
      <c r="R62" s="25">
        <f t="shared" si="7"/>
        <v>2.9549239444007345</v>
      </c>
      <c r="S62" s="32">
        <f>J62</f>
        <v>61008</v>
      </c>
      <c r="T62" s="3">
        <f t="shared" si="8"/>
        <v>0</v>
      </c>
      <c r="U62" s="1" t="s">
        <v>3615</v>
      </c>
      <c r="V62" s="16">
        <v>1</v>
      </c>
      <c r="W62" s="28">
        <f t="shared" si="4"/>
        <v>1</v>
      </c>
      <c r="X62" s="27">
        <f t="shared" si="9"/>
        <v>1</v>
      </c>
      <c r="Y62" s="18"/>
      <c r="Z62" s="19"/>
    </row>
    <row r="63" spans="1:26" x14ac:dyDescent="0.35">
      <c r="A63" s="29">
        <v>1</v>
      </c>
      <c r="B63" s="1" t="s">
        <v>3617</v>
      </c>
      <c r="C63" s="1"/>
      <c r="D63" s="1" t="s">
        <v>516</v>
      </c>
      <c r="E63" s="1" t="s">
        <v>517</v>
      </c>
      <c r="F63" s="1" t="s">
        <v>518</v>
      </c>
      <c r="G63" s="5" t="s">
        <v>519</v>
      </c>
      <c r="H63" s="1" t="s">
        <v>17</v>
      </c>
      <c r="I63" s="2">
        <v>46086</v>
      </c>
      <c r="J63" s="33">
        <f t="shared" si="6"/>
        <v>151735</v>
      </c>
      <c r="K63" s="3">
        <v>20429</v>
      </c>
      <c r="L63" s="3">
        <v>117806</v>
      </c>
      <c r="M63" s="3">
        <v>12500</v>
      </c>
      <c r="N63" s="3">
        <v>0</v>
      </c>
      <c r="O63" s="3">
        <v>1000</v>
      </c>
      <c r="P63" s="1" t="s">
        <v>520</v>
      </c>
      <c r="Q63" s="3">
        <v>255844</v>
      </c>
      <c r="R63" s="25">
        <f t="shared" si="7"/>
        <v>1.6861238343164069</v>
      </c>
      <c r="S63" s="32">
        <f>J63</f>
        <v>151735</v>
      </c>
      <c r="T63" s="3">
        <f t="shared" si="8"/>
        <v>0</v>
      </c>
      <c r="U63" s="1" t="s">
        <v>3615</v>
      </c>
      <c r="V63" s="16">
        <v>1</v>
      </c>
      <c r="W63" s="28">
        <f t="shared" si="4"/>
        <v>1</v>
      </c>
      <c r="X63" s="27">
        <f t="shared" si="9"/>
        <v>1</v>
      </c>
      <c r="Y63" s="18"/>
      <c r="Z63" s="19"/>
    </row>
    <row r="64" spans="1:26" x14ac:dyDescent="0.35">
      <c r="A64" s="29">
        <v>1</v>
      </c>
      <c r="B64" s="1" t="s">
        <v>3617</v>
      </c>
      <c r="C64" s="1"/>
      <c r="D64" s="1" t="s">
        <v>308</v>
      </c>
      <c r="E64" s="1" t="s">
        <v>309</v>
      </c>
      <c r="F64" s="1" t="s">
        <v>310</v>
      </c>
      <c r="G64" s="5" t="s">
        <v>311</v>
      </c>
      <c r="H64" s="1" t="s">
        <v>17</v>
      </c>
      <c r="I64" s="2">
        <v>46086</v>
      </c>
      <c r="J64" s="33">
        <f t="shared" si="6"/>
        <v>51007</v>
      </c>
      <c r="K64" s="3">
        <v>4831</v>
      </c>
      <c r="L64" s="3">
        <v>41009</v>
      </c>
      <c r="M64" s="3">
        <v>4167</v>
      </c>
      <c r="N64" s="3">
        <v>0</v>
      </c>
      <c r="O64" s="3">
        <v>1000</v>
      </c>
      <c r="P64" s="1" t="s">
        <v>312</v>
      </c>
      <c r="Q64" s="3">
        <v>579836</v>
      </c>
      <c r="R64" s="25">
        <f t="shared" si="7"/>
        <v>11.367773050757739</v>
      </c>
      <c r="S64" s="32">
        <f>J64</f>
        <v>51007</v>
      </c>
      <c r="T64" s="3">
        <f t="shared" si="8"/>
        <v>0</v>
      </c>
      <c r="U64" s="1" t="s">
        <v>3615</v>
      </c>
      <c r="V64" s="16">
        <v>1</v>
      </c>
      <c r="W64" s="28">
        <f t="shared" si="4"/>
        <v>1</v>
      </c>
      <c r="X64" s="27">
        <f t="shared" si="9"/>
        <v>1</v>
      </c>
      <c r="Y64" s="18"/>
      <c r="Z64" s="19"/>
    </row>
    <row r="65" spans="1:26" x14ac:dyDescent="0.35">
      <c r="A65" s="29">
        <v>1</v>
      </c>
      <c r="B65" s="1" t="s">
        <v>3617</v>
      </c>
      <c r="C65" s="1"/>
      <c r="D65" s="1" t="s">
        <v>482</v>
      </c>
      <c r="E65" s="1" t="s">
        <v>483</v>
      </c>
      <c r="F65" s="1" t="s">
        <v>21</v>
      </c>
      <c r="G65" s="5" t="s">
        <v>484</v>
      </c>
      <c r="H65" s="1" t="s">
        <v>17</v>
      </c>
      <c r="I65" s="2">
        <v>46086</v>
      </c>
      <c r="J65" s="33">
        <f t="shared" si="6"/>
        <v>81011</v>
      </c>
      <c r="K65" s="3">
        <v>9401</v>
      </c>
      <c r="L65" s="3">
        <v>63943</v>
      </c>
      <c r="M65" s="3">
        <v>6667</v>
      </c>
      <c r="N65" s="3">
        <v>0</v>
      </c>
      <c r="O65" s="3">
        <v>1000</v>
      </c>
      <c r="P65" s="1" t="s">
        <v>485</v>
      </c>
      <c r="Q65" s="3">
        <v>13636</v>
      </c>
      <c r="R65" s="25">
        <f t="shared" si="7"/>
        <v>0.16832282035772919</v>
      </c>
      <c r="S65" s="32">
        <f>Q65</f>
        <v>13636</v>
      </c>
      <c r="T65" s="31">
        <f t="shared" si="8"/>
        <v>-67375</v>
      </c>
      <c r="U65" s="1" t="s">
        <v>3616</v>
      </c>
      <c r="V65" s="16"/>
      <c r="W65" s="30">
        <f t="shared" si="4"/>
        <v>0</v>
      </c>
      <c r="X65" s="27">
        <f t="shared" si="9"/>
        <v>0.16832282035772919</v>
      </c>
      <c r="Y65" s="18"/>
      <c r="Z65" s="19"/>
    </row>
    <row r="66" spans="1:26" x14ac:dyDescent="0.35">
      <c r="A66" s="29">
        <v>1</v>
      </c>
      <c r="B66" s="1" t="s">
        <v>3617</v>
      </c>
      <c r="C66" s="1"/>
      <c r="D66" s="1" t="s">
        <v>278</v>
      </c>
      <c r="E66" s="1" t="s">
        <v>279</v>
      </c>
      <c r="F66" s="1" t="s">
        <v>21</v>
      </c>
      <c r="G66" s="5" t="s">
        <v>280</v>
      </c>
      <c r="H66" s="1" t="s">
        <v>17</v>
      </c>
      <c r="I66" s="2">
        <v>46086</v>
      </c>
      <c r="J66" s="33">
        <f t="shared" si="6"/>
        <v>100849</v>
      </c>
      <c r="K66" s="3">
        <v>14575</v>
      </c>
      <c r="L66" s="3">
        <v>77582</v>
      </c>
      <c r="M66" s="3">
        <v>7692</v>
      </c>
      <c r="N66" s="3">
        <v>0</v>
      </c>
      <c r="O66" s="3">
        <v>1000</v>
      </c>
      <c r="P66" s="1" t="s">
        <v>281</v>
      </c>
      <c r="Q66" s="3">
        <v>21632</v>
      </c>
      <c r="R66" s="25">
        <f t="shared" si="7"/>
        <v>0.21449890430247201</v>
      </c>
      <c r="S66" s="32">
        <f>Q66</f>
        <v>21632</v>
      </c>
      <c r="T66" s="31">
        <f t="shared" si="8"/>
        <v>-79217</v>
      </c>
      <c r="U66" s="1" t="s">
        <v>3616</v>
      </c>
      <c r="V66" s="16"/>
      <c r="W66" s="30">
        <f t="shared" si="4"/>
        <v>0</v>
      </c>
      <c r="X66" s="27">
        <f t="shared" si="9"/>
        <v>0.21449890430247201</v>
      </c>
      <c r="Y66" s="18"/>
      <c r="Z66" s="19"/>
    </row>
    <row r="67" spans="1:26" x14ac:dyDescent="0.35">
      <c r="A67" s="29">
        <v>1</v>
      </c>
      <c r="B67" s="1" t="s">
        <v>3617</v>
      </c>
      <c r="C67" s="1"/>
      <c r="D67" s="1" t="s">
        <v>60</v>
      </c>
      <c r="E67" s="1" t="s">
        <v>61</v>
      </c>
      <c r="F67" s="1" t="s">
        <v>21</v>
      </c>
      <c r="G67" s="5" t="s">
        <v>62</v>
      </c>
      <c r="H67" s="1" t="s">
        <v>17</v>
      </c>
      <c r="I67" s="2">
        <v>46086</v>
      </c>
      <c r="J67" s="33">
        <f t="shared" ref="J67:J98" si="11">SUM(K67:O67)</f>
        <v>301040</v>
      </c>
      <c r="K67" s="3">
        <v>35275</v>
      </c>
      <c r="L67" s="3">
        <v>239765</v>
      </c>
      <c r="M67" s="3">
        <v>25000</v>
      </c>
      <c r="N67" s="3">
        <v>0</v>
      </c>
      <c r="O67" s="3">
        <v>1000</v>
      </c>
      <c r="P67" s="1" t="s">
        <v>63</v>
      </c>
      <c r="Q67" s="3">
        <v>837567</v>
      </c>
      <c r="R67" s="25">
        <f t="shared" ref="R67:R98" si="12">Q67/J67</f>
        <v>2.7822448844007441</v>
      </c>
      <c r="S67" s="32">
        <f t="shared" ref="S67:S74" si="13">J67</f>
        <v>301040</v>
      </c>
      <c r="T67" s="3">
        <f t="shared" ref="T67:T98" si="14">S67-J67</f>
        <v>0</v>
      </c>
      <c r="U67" s="1" t="s">
        <v>3615</v>
      </c>
      <c r="V67" s="16">
        <v>1</v>
      </c>
      <c r="W67" s="28">
        <f t="shared" ref="W67:W130" si="15">V67/A67</f>
        <v>1</v>
      </c>
      <c r="X67" s="27">
        <f t="shared" ref="X67:X98" si="16">S67/J67</f>
        <v>1</v>
      </c>
      <c r="Y67" s="18"/>
      <c r="Z67" s="19"/>
    </row>
    <row r="68" spans="1:26" x14ac:dyDescent="0.35">
      <c r="A68" s="29">
        <v>1</v>
      </c>
      <c r="B68" s="1" t="s">
        <v>3617</v>
      </c>
      <c r="C68" s="1"/>
      <c r="D68" s="1" t="s">
        <v>149</v>
      </c>
      <c r="E68" s="1" t="s">
        <v>150</v>
      </c>
      <c r="F68" s="1" t="s">
        <v>21</v>
      </c>
      <c r="G68" s="5" t="s">
        <v>151</v>
      </c>
      <c r="H68" s="1" t="s">
        <v>17</v>
      </c>
      <c r="I68" s="2">
        <v>46086</v>
      </c>
      <c r="J68" s="33">
        <f t="shared" si="11"/>
        <v>301040</v>
      </c>
      <c r="K68" s="3">
        <v>21817</v>
      </c>
      <c r="L68" s="3">
        <v>253223</v>
      </c>
      <c r="M68" s="3">
        <v>25000</v>
      </c>
      <c r="N68" s="3">
        <v>0</v>
      </c>
      <c r="O68" s="3">
        <v>1000</v>
      </c>
      <c r="P68" s="1" t="s">
        <v>152</v>
      </c>
      <c r="Q68" s="3">
        <v>1144267</v>
      </c>
      <c r="R68" s="25">
        <f t="shared" si="12"/>
        <v>3.8010463725750729</v>
      </c>
      <c r="S68" s="32">
        <f t="shared" si="13"/>
        <v>301040</v>
      </c>
      <c r="T68" s="3">
        <f t="shared" si="14"/>
        <v>0</v>
      </c>
      <c r="U68" s="1" t="s">
        <v>3615</v>
      </c>
      <c r="V68" s="16">
        <v>1</v>
      </c>
      <c r="W68" s="28">
        <f t="shared" si="15"/>
        <v>1</v>
      </c>
      <c r="X68" s="27">
        <f t="shared" si="16"/>
        <v>1</v>
      </c>
      <c r="Y68" s="18"/>
      <c r="Z68" s="19"/>
    </row>
    <row r="69" spans="1:26" x14ac:dyDescent="0.35">
      <c r="A69" s="29">
        <v>1</v>
      </c>
      <c r="B69" s="1" t="s">
        <v>3617</v>
      </c>
      <c r="C69" s="1"/>
      <c r="D69" s="1" t="s">
        <v>521</v>
      </c>
      <c r="E69" s="1" t="s">
        <v>522</v>
      </c>
      <c r="F69" s="1" t="s">
        <v>21</v>
      </c>
      <c r="G69" s="5" t="s">
        <v>523</v>
      </c>
      <c r="H69" s="1" t="s">
        <v>17</v>
      </c>
      <c r="I69" s="2">
        <v>46086</v>
      </c>
      <c r="J69" s="33">
        <f t="shared" si="11"/>
        <v>70362</v>
      </c>
      <c r="K69" s="3">
        <v>13274</v>
      </c>
      <c r="L69" s="3">
        <v>50532</v>
      </c>
      <c r="M69" s="3">
        <v>5556</v>
      </c>
      <c r="N69" s="3">
        <v>0</v>
      </c>
      <c r="O69" s="3">
        <v>1000</v>
      </c>
      <c r="P69" s="1" t="s">
        <v>524</v>
      </c>
      <c r="Q69" s="3">
        <v>117887</v>
      </c>
      <c r="R69" s="25">
        <f t="shared" si="12"/>
        <v>1.6754356044455814</v>
      </c>
      <c r="S69" s="32">
        <f t="shared" si="13"/>
        <v>70362</v>
      </c>
      <c r="T69" s="3">
        <f t="shared" si="14"/>
        <v>0</v>
      </c>
      <c r="U69" s="1" t="s">
        <v>3615</v>
      </c>
      <c r="V69" s="16">
        <v>1</v>
      </c>
      <c r="W69" s="28">
        <f t="shared" si="15"/>
        <v>1</v>
      </c>
      <c r="X69" s="27">
        <f t="shared" si="16"/>
        <v>1</v>
      </c>
      <c r="Y69" s="18"/>
      <c r="Z69" s="19"/>
    </row>
    <row r="70" spans="1:26" x14ac:dyDescent="0.35">
      <c r="A70" s="29">
        <v>1</v>
      </c>
      <c r="B70" s="1" t="s">
        <v>3617</v>
      </c>
      <c r="C70" s="1"/>
      <c r="D70" s="1" t="s">
        <v>19</v>
      </c>
      <c r="E70" s="1" t="s">
        <v>20</v>
      </c>
      <c r="F70" s="1" t="s">
        <v>21</v>
      </c>
      <c r="G70" s="5" t="s">
        <v>22</v>
      </c>
      <c r="H70" s="1" t="s">
        <v>17</v>
      </c>
      <c r="I70" s="2">
        <v>46086</v>
      </c>
      <c r="J70" s="33">
        <f t="shared" si="11"/>
        <v>26003</v>
      </c>
      <c r="K70" s="3">
        <v>2131</v>
      </c>
      <c r="L70" s="3">
        <v>20789</v>
      </c>
      <c r="M70" s="3">
        <v>2083</v>
      </c>
      <c r="N70" s="3">
        <v>0</v>
      </c>
      <c r="O70" s="3">
        <v>1000</v>
      </c>
      <c r="P70" s="1" t="s">
        <v>23</v>
      </c>
      <c r="Q70" s="3">
        <v>46150</v>
      </c>
      <c r="R70" s="25">
        <f t="shared" si="12"/>
        <v>1.7747952159366227</v>
      </c>
      <c r="S70" s="32">
        <f t="shared" si="13"/>
        <v>26003</v>
      </c>
      <c r="T70" s="3">
        <f t="shared" si="14"/>
        <v>0</v>
      </c>
      <c r="U70" s="1" t="s">
        <v>3615</v>
      </c>
      <c r="V70" s="16">
        <v>1</v>
      </c>
      <c r="W70" s="28">
        <f t="shared" si="15"/>
        <v>1</v>
      </c>
      <c r="X70" s="27">
        <f t="shared" si="16"/>
        <v>1</v>
      </c>
      <c r="Y70" s="18"/>
      <c r="Z70" s="19"/>
    </row>
    <row r="71" spans="1:26" x14ac:dyDescent="0.35">
      <c r="A71" s="29">
        <v>1</v>
      </c>
      <c r="B71" s="1" t="s">
        <v>3617</v>
      </c>
      <c r="C71" s="1"/>
      <c r="D71" s="1" t="s">
        <v>232</v>
      </c>
      <c r="E71" s="1" t="s">
        <v>233</v>
      </c>
      <c r="F71" s="1" t="s">
        <v>21</v>
      </c>
      <c r="G71" s="5" t="s">
        <v>234</v>
      </c>
      <c r="H71" s="1" t="s">
        <v>17</v>
      </c>
      <c r="I71" s="2">
        <v>46086</v>
      </c>
      <c r="J71" s="33">
        <f t="shared" si="11"/>
        <v>51007</v>
      </c>
      <c r="K71" s="3">
        <v>3629</v>
      </c>
      <c r="L71" s="3">
        <v>42211</v>
      </c>
      <c r="M71" s="3">
        <v>4167</v>
      </c>
      <c r="N71" s="3">
        <v>0</v>
      </c>
      <c r="O71" s="3">
        <v>1000</v>
      </c>
      <c r="P71" s="1" t="s">
        <v>235</v>
      </c>
      <c r="Q71" s="3">
        <v>77460</v>
      </c>
      <c r="R71" s="25">
        <f t="shared" si="12"/>
        <v>1.5186150920461898</v>
      </c>
      <c r="S71" s="32">
        <f t="shared" si="13"/>
        <v>51007</v>
      </c>
      <c r="T71" s="3">
        <f t="shared" si="14"/>
        <v>0</v>
      </c>
      <c r="U71" s="1" t="s">
        <v>3615</v>
      </c>
      <c r="V71" s="16">
        <v>1</v>
      </c>
      <c r="W71" s="28">
        <f t="shared" si="15"/>
        <v>1</v>
      </c>
      <c r="X71" s="27">
        <f t="shared" si="16"/>
        <v>1</v>
      </c>
      <c r="Y71" s="18"/>
      <c r="Z71" s="19"/>
    </row>
    <row r="72" spans="1:26" x14ac:dyDescent="0.35">
      <c r="A72" s="29">
        <v>1</v>
      </c>
      <c r="B72" s="1" t="s">
        <v>3617</v>
      </c>
      <c r="C72" s="1"/>
      <c r="D72" s="1" t="s">
        <v>539</v>
      </c>
      <c r="E72" s="1" t="s">
        <v>540</v>
      </c>
      <c r="F72" s="1" t="s">
        <v>21</v>
      </c>
      <c r="G72" s="5" t="s">
        <v>541</v>
      </c>
      <c r="H72" s="1" t="s">
        <v>17</v>
      </c>
      <c r="I72" s="2">
        <v>46086</v>
      </c>
      <c r="J72" s="33">
        <f t="shared" si="11"/>
        <v>61008</v>
      </c>
      <c r="K72" s="3">
        <v>12132</v>
      </c>
      <c r="L72" s="3">
        <v>42876</v>
      </c>
      <c r="M72" s="3">
        <v>5000</v>
      </c>
      <c r="N72" s="3">
        <v>0</v>
      </c>
      <c r="O72" s="3">
        <v>1000</v>
      </c>
      <c r="P72" s="1" t="s">
        <v>542</v>
      </c>
      <c r="Q72" s="3">
        <v>90956</v>
      </c>
      <c r="R72" s="25">
        <f t="shared" si="12"/>
        <v>1.4908864411224758</v>
      </c>
      <c r="S72" s="32">
        <f t="shared" si="13"/>
        <v>61008</v>
      </c>
      <c r="T72" s="3">
        <f t="shared" si="14"/>
        <v>0</v>
      </c>
      <c r="U72" s="1" t="s">
        <v>3615</v>
      </c>
      <c r="V72" s="16">
        <v>1</v>
      </c>
      <c r="W72" s="28">
        <f t="shared" si="15"/>
        <v>1</v>
      </c>
      <c r="X72" s="27">
        <f t="shared" si="16"/>
        <v>1</v>
      </c>
      <c r="Y72" s="18"/>
      <c r="Z72" s="19"/>
    </row>
    <row r="73" spans="1:26" x14ac:dyDescent="0.35">
      <c r="A73" s="29">
        <v>1</v>
      </c>
      <c r="B73" s="1" t="s">
        <v>3617</v>
      </c>
      <c r="C73" s="1"/>
      <c r="D73" s="1" t="s">
        <v>145</v>
      </c>
      <c r="E73" s="1" t="s">
        <v>146</v>
      </c>
      <c r="F73" s="1" t="s">
        <v>21</v>
      </c>
      <c r="G73" s="5" t="s">
        <v>147</v>
      </c>
      <c r="H73" s="1" t="s">
        <v>17</v>
      </c>
      <c r="I73" s="2">
        <v>46086</v>
      </c>
      <c r="J73" s="33">
        <f t="shared" si="11"/>
        <v>51245</v>
      </c>
      <c r="K73" s="3">
        <v>3878</v>
      </c>
      <c r="L73" s="3">
        <v>42200</v>
      </c>
      <c r="M73" s="3">
        <v>4167</v>
      </c>
      <c r="N73" s="3">
        <v>0</v>
      </c>
      <c r="O73" s="3">
        <v>1000</v>
      </c>
      <c r="P73" s="1" t="s">
        <v>148</v>
      </c>
      <c r="Q73" s="3">
        <v>77216</v>
      </c>
      <c r="R73" s="25">
        <f t="shared" si="12"/>
        <v>1.5068006634793638</v>
      </c>
      <c r="S73" s="32">
        <f t="shared" si="13"/>
        <v>51245</v>
      </c>
      <c r="T73" s="3">
        <f t="shared" si="14"/>
        <v>0</v>
      </c>
      <c r="U73" s="1" t="s">
        <v>3615</v>
      </c>
      <c r="V73" s="16">
        <v>1</v>
      </c>
      <c r="W73" s="28">
        <f t="shared" si="15"/>
        <v>1</v>
      </c>
      <c r="X73" s="27">
        <f t="shared" si="16"/>
        <v>1</v>
      </c>
      <c r="Y73" s="18"/>
      <c r="Z73" s="19"/>
    </row>
    <row r="74" spans="1:26" x14ac:dyDescent="0.35">
      <c r="A74" s="29">
        <v>1</v>
      </c>
      <c r="B74" s="1" t="s">
        <v>3617</v>
      </c>
      <c r="C74" s="1"/>
      <c r="D74" s="1" t="s">
        <v>200</v>
      </c>
      <c r="E74" s="1" t="s">
        <v>201</v>
      </c>
      <c r="F74" s="1" t="s">
        <v>21</v>
      </c>
      <c r="G74" s="5" t="s">
        <v>202</v>
      </c>
      <c r="H74" s="1" t="s">
        <v>32</v>
      </c>
      <c r="I74" s="2">
        <v>46086</v>
      </c>
      <c r="J74" s="33">
        <f t="shared" si="11"/>
        <v>36005</v>
      </c>
      <c r="K74" s="3">
        <v>2134</v>
      </c>
      <c r="L74" s="3">
        <v>29954</v>
      </c>
      <c r="M74" s="3">
        <v>2917</v>
      </c>
      <c r="N74" s="3">
        <v>0</v>
      </c>
      <c r="O74" s="3">
        <v>1000</v>
      </c>
      <c r="P74" s="1" t="s">
        <v>203</v>
      </c>
      <c r="Q74" s="3">
        <v>52124</v>
      </c>
      <c r="R74" s="25">
        <f t="shared" si="12"/>
        <v>1.4476878211359534</v>
      </c>
      <c r="S74" s="32">
        <f t="shared" si="13"/>
        <v>36005</v>
      </c>
      <c r="T74" s="3">
        <f t="shared" si="14"/>
        <v>0</v>
      </c>
      <c r="U74" s="1" t="s">
        <v>3615</v>
      </c>
      <c r="V74" s="16">
        <v>1</v>
      </c>
      <c r="W74" s="28">
        <f t="shared" si="15"/>
        <v>1</v>
      </c>
      <c r="X74" s="27">
        <f t="shared" si="16"/>
        <v>1</v>
      </c>
      <c r="Y74" s="18"/>
      <c r="Z74" s="19"/>
    </row>
    <row r="75" spans="1:26" x14ac:dyDescent="0.35">
      <c r="A75" s="29">
        <v>1</v>
      </c>
      <c r="B75" s="1" t="s">
        <v>3617</v>
      </c>
      <c r="C75" s="1"/>
      <c r="D75" s="1" t="s">
        <v>300</v>
      </c>
      <c r="E75" s="1" t="s">
        <v>301</v>
      </c>
      <c r="F75" s="1" t="s">
        <v>21</v>
      </c>
      <c r="G75" s="5" t="s">
        <v>302</v>
      </c>
      <c r="H75" s="1" t="s">
        <v>32</v>
      </c>
      <c r="I75" s="2">
        <v>46086</v>
      </c>
      <c r="J75" s="33">
        <f t="shared" si="11"/>
        <v>301040</v>
      </c>
      <c r="K75" s="3">
        <v>25420</v>
      </c>
      <c r="L75" s="3">
        <v>249620</v>
      </c>
      <c r="M75" s="3">
        <v>25000</v>
      </c>
      <c r="N75" s="3">
        <v>0</v>
      </c>
      <c r="O75" s="3">
        <v>1000</v>
      </c>
      <c r="P75" s="1" t="s">
        <v>303</v>
      </c>
      <c r="Q75" s="3">
        <v>179856</v>
      </c>
      <c r="R75" s="25">
        <f t="shared" si="12"/>
        <v>0.59744884400744092</v>
      </c>
      <c r="S75" s="32">
        <f>Q75</f>
        <v>179856</v>
      </c>
      <c r="T75" s="31">
        <f t="shared" si="14"/>
        <v>-121184</v>
      </c>
      <c r="U75" s="1" t="s">
        <v>3616</v>
      </c>
      <c r="V75" s="16"/>
      <c r="W75" s="30">
        <f t="shared" si="15"/>
        <v>0</v>
      </c>
      <c r="X75" s="27">
        <f t="shared" si="16"/>
        <v>0.59744884400744092</v>
      </c>
      <c r="Y75" s="18"/>
      <c r="Z75" s="19"/>
    </row>
    <row r="76" spans="1:26" x14ac:dyDescent="0.35">
      <c r="A76" s="29">
        <v>1</v>
      </c>
      <c r="B76" s="1" t="s">
        <v>3617</v>
      </c>
      <c r="C76" s="1"/>
      <c r="D76" s="1" t="s">
        <v>228</v>
      </c>
      <c r="E76" s="1" t="s">
        <v>229</v>
      </c>
      <c r="F76" s="1" t="s">
        <v>21</v>
      </c>
      <c r="G76" s="5" t="s">
        <v>230</v>
      </c>
      <c r="H76" s="1" t="s">
        <v>32</v>
      </c>
      <c r="I76" s="2">
        <v>46086</v>
      </c>
      <c r="J76" s="33">
        <f t="shared" si="11"/>
        <v>101013</v>
      </c>
      <c r="K76" s="3">
        <v>7258</v>
      </c>
      <c r="L76" s="3">
        <v>84422</v>
      </c>
      <c r="M76" s="3">
        <v>8333</v>
      </c>
      <c r="N76" s="3">
        <v>0</v>
      </c>
      <c r="O76" s="3">
        <v>1000</v>
      </c>
      <c r="P76" s="1" t="s">
        <v>231</v>
      </c>
      <c r="Q76" s="3">
        <v>127919</v>
      </c>
      <c r="R76" s="25">
        <f t="shared" si="12"/>
        <v>1.2663617554176194</v>
      </c>
      <c r="S76" s="32">
        <f>J76</f>
        <v>101013</v>
      </c>
      <c r="T76" s="3">
        <f t="shared" si="14"/>
        <v>0</v>
      </c>
      <c r="U76" s="1" t="s">
        <v>3615</v>
      </c>
      <c r="V76" s="16">
        <v>1</v>
      </c>
      <c r="W76" s="28">
        <f t="shared" si="15"/>
        <v>1</v>
      </c>
      <c r="X76" s="27">
        <f t="shared" si="16"/>
        <v>1</v>
      </c>
      <c r="Y76" s="18"/>
      <c r="Z76" s="19"/>
    </row>
    <row r="77" spans="1:26" x14ac:dyDescent="0.35">
      <c r="A77" s="29">
        <v>1</v>
      </c>
      <c r="B77" s="1" t="s">
        <v>3617</v>
      </c>
      <c r="C77" s="1"/>
      <c r="D77" s="1" t="s">
        <v>236</v>
      </c>
      <c r="E77" s="1" t="s">
        <v>237</v>
      </c>
      <c r="F77" s="1" t="s">
        <v>21</v>
      </c>
      <c r="G77" s="5" t="s">
        <v>238</v>
      </c>
      <c r="H77" s="1" t="s">
        <v>17</v>
      </c>
      <c r="I77" s="2">
        <v>46086</v>
      </c>
      <c r="J77" s="33">
        <f t="shared" si="11"/>
        <v>81392</v>
      </c>
      <c r="K77" s="3">
        <v>8098</v>
      </c>
      <c r="L77" s="3">
        <v>65627</v>
      </c>
      <c r="M77" s="3">
        <v>6667</v>
      </c>
      <c r="N77" s="3">
        <v>0</v>
      </c>
      <c r="O77" s="3">
        <v>1000</v>
      </c>
      <c r="P77" s="1" t="s">
        <v>239</v>
      </c>
      <c r="Q77" s="3">
        <v>6073</v>
      </c>
      <c r="R77" s="25">
        <f t="shared" si="12"/>
        <v>7.4614212699036758E-2</v>
      </c>
      <c r="S77" s="32">
        <f>Q77</f>
        <v>6073</v>
      </c>
      <c r="T77" s="31">
        <f t="shared" si="14"/>
        <v>-75319</v>
      </c>
      <c r="U77" s="1" t="s">
        <v>3616</v>
      </c>
      <c r="V77" s="16"/>
      <c r="W77" s="30">
        <f t="shared" si="15"/>
        <v>0</v>
      </c>
      <c r="X77" s="27">
        <f t="shared" si="16"/>
        <v>7.4614212699036758E-2</v>
      </c>
      <c r="Y77" s="18"/>
      <c r="Z77" s="19"/>
    </row>
    <row r="78" spans="1:26" x14ac:dyDescent="0.35">
      <c r="A78" s="29">
        <v>1</v>
      </c>
      <c r="B78" s="1" t="s">
        <v>3617</v>
      </c>
      <c r="C78" s="1"/>
      <c r="D78" s="1" t="s">
        <v>162</v>
      </c>
      <c r="E78" s="1" t="s">
        <v>163</v>
      </c>
      <c r="F78" s="1" t="s">
        <v>21</v>
      </c>
      <c r="G78" s="5" t="s">
        <v>164</v>
      </c>
      <c r="H78" s="1" t="s">
        <v>17</v>
      </c>
      <c r="I78" s="2">
        <v>46086</v>
      </c>
      <c r="J78" s="33">
        <f t="shared" si="11"/>
        <v>101490</v>
      </c>
      <c r="K78" s="3">
        <v>7681</v>
      </c>
      <c r="L78" s="3">
        <v>84476</v>
      </c>
      <c r="M78" s="3">
        <v>8333</v>
      </c>
      <c r="N78" s="3">
        <v>0</v>
      </c>
      <c r="O78" s="3">
        <v>1000</v>
      </c>
      <c r="P78" s="1" t="s">
        <v>165</v>
      </c>
      <c r="Q78" s="3">
        <v>211558</v>
      </c>
      <c r="R78" s="25">
        <f t="shared" si="12"/>
        <v>2.0845206424278255</v>
      </c>
      <c r="S78" s="32">
        <f>J78</f>
        <v>101490</v>
      </c>
      <c r="T78" s="3">
        <f t="shared" si="14"/>
        <v>0</v>
      </c>
      <c r="U78" s="1" t="s">
        <v>3615</v>
      </c>
      <c r="V78" s="16">
        <v>1</v>
      </c>
      <c r="W78" s="28">
        <f t="shared" si="15"/>
        <v>1</v>
      </c>
      <c r="X78" s="27">
        <f t="shared" si="16"/>
        <v>1</v>
      </c>
      <c r="Y78" s="18"/>
      <c r="Z78" s="19"/>
    </row>
    <row r="79" spans="1:26" x14ac:dyDescent="0.35">
      <c r="A79" s="29">
        <v>1</v>
      </c>
      <c r="B79" s="1" t="s">
        <v>3617</v>
      </c>
      <c r="C79" s="1"/>
      <c r="D79" s="1" t="s">
        <v>141</v>
      </c>
      <c r="E79" s="1" t="s">
        <v>142</v>
      </c>
      <c r="F79" s="1" t="s">
        <v>21</v>
      </c>
      <c r="G79" s="5" t="s">
        <v>143</v>
      </c>
      <c r="H79" s="1" t="s">
        <v>17</v>
      </c>
      <c r="I79" s="2">
        <v>46086</v>
      </c>
      <c r="J79" s="33">
        <f t="shared" si="11"/>
        <v>503450</v>
      </c>
      <c r="K79" s="3">
        <v>38941</v>
      </c>
      <c r="L79" s="3">
        <v>421842</v>
      </c>
      <c r="M79" s="3">
        <v>41667</v>
      </c>
      <c r="N79" s="3">
        <v>0</v>
      </c>
      <c r="O79" s="3">
        <v>1000</v>
      </c>
      <c r="P79" s="1" t="s">
        <v>144</v>
      </c>
      <c r="Q79" s="3">
        <v>374489</v>
      </c>
      <c r="R79" s="25">
        <f t="shared" si="12"/>
        <v>0.74384546628264969</v>
      </c>
      <c r="S79" s="32">
        <f>Q79</f>
        <v>374489</v>
      </c>
      <c r="T79" s="31">
        <f t="shared" si="14"/>
        <v>-128961</v>
      </c>
      <c r="U79" s="1" t="s">
        <v>3616</v>
      </c>
      <c r="V79" s="16"/>
      <c r="W79" s="30">
        <f t="shared" si="15"/>
        <v>0</v>
      </c>
      <c r="X79" s="27">
        <f t="shared" si="16"/>
        <v>0.74384546628264969</v>
      </c>
      <c r="Y79" s="18"/>
      <c r="Z79" s="19"/>
    </row>
    <row r="80" spans="1:26" x14ac:dyDescent="0.35">
      <c r="A80" s="29">
        <v>1</v>
      </c>
      <c r="B80" s="1" t="s">
        <v>3617</v>
      </c>
      <c r="C80" s="1"/>
      <c r="D80" s="1" t="s">
        <v>137</v>
      </c>
      <c r="E80" s="1" t="s">
        <v>138</v>
      </c>
      <c r="F80" s="1" t="s">
        <v>21</v>
      </c>
      <c r="G80" s="5" t="s">
        <v>139</v>
      </c>
      <c r="H80" s="1" t="s">
        <v>32</v>
      </c>
      <c r="I80" s="2">
        <v>46086</v>
      </c>
      <c r="J80" s="33">
        <f t="shared" si="11"/>
        <v>273876</v>
      </c>
      <c r="K80" s="3">
        <v>57940</v>
      </c>
      <c r="L80" s="3">
        <v>194103</v>
      </c>
      <c r="M80" s="3">
        <v>20833</v>
      </c>
      <c r="N80" s="3">
        <v>0</v>
      </c>
      <c r="O80" s="3">
        <v>1000</v>
      </c>
      <c r="P80" s="1" t="s">
        <v>140</v>
      </c>
      <c r="Q80" s="3">
        <v>823942</v>
      </c>
      <c r="R80" s="25">
        <f t="shared" si="12"/>
        <v>3.0084490791453065</v>
      </c>
      <c r="S80" s="32">
        <f>J80</f>
        <v>273876</v>
      </c>
      <c r="T80" s="3">
        <f t="shared" si="14"/>
        <v>0</v>
      </c>
      <c r="U80" s="1" t="s">
        <v>3615</v>
      </c>
      <c r="V80" s="16">
        <v>1</v>
      </c>
      <c r="W80" s="28">
        <f t="shared" si="15"/>
        <v>1</v>
      </c>
      <c r="X80" s="27">
        <f t="shared" si="16"/>
        <v>1</v>
      </c>
      <c r="Y80" s="18"/>
      <c r="Z80" s="19"/>
    </row>
    <row r="81" spans="1:26" x14ac:dyDescent="0.35">
      <c r="A81" s="29">
        <v>1</v>
      </c>
      <c r="B81" s="1" t="s">
        <v>3617</v>
      </c>
      <c r="C81" s="1"/>
      <c r="D81" s="1" t="s">
        <v>224</v>
      </c>
      <c r="E81" s="1" t="s">
        <v>225</v>
      </c>
      <c r="F81" s="1" t="s">
        <v>21</v>
      </c>
      <c r="G81" s="5" t="s">
        <v>226</v>
      </c>
      <c r="H81" s="1" t="s">
        <v>17</v>
      </c>
      <c r="I81" s="2">
        <v>46086</v>
      </c>
      <c r="J81" s="33">
        <f t="shared" si="11"/>
        <v>51245</v>
      </c>
      <c r="K81" s="3">
        <v>3865</v>
      </c>
      <c r="L81" s="3">
        <v>42213</v>
      </c>
      <c r="M81" s="3">
        <v>4167</v>
      </c>
      <c r="N81" s="3">
        <v>0</v>
      </c>
      <c r="O81" s="3">
        <v>1000</v>
      </c>
      <c r="P81" s="1" t="s">
        <v>227</v>
      </c>
      <c r="Q81" s="3">
        <v>172032</v>
      </c>
      <c r="R81" s="25">
        <f t="shared" si="12"/>
        <v>3.3570494682408039</v>
      </c>
      <c r="S81" s="32">
        <f>J81</f>
        <v>51245</v>
      </c>
      <c r="T81" s="3">
        <f t="shared" si="14"/>
        <v>0</v>
      </c>
      <c r="U81" s="1" t="s">
        <v>3615</v>
      </c>
      <c r="V81" s="16">
        <v>1</v>
      </c>
      <c r="W81" s="28">
        <f t="shared" si="15"/>
        <v>1</v>
      </c>
      <c r="X81" s="27">
        <f t="shared" si="16"/>
        <v>1</v>
      </c>
      <c r="Y81" s="18"/>
      <c r="Z81" s="19"/>
    </row>
    <row r="82" spans="1:26" x14ac:dyDescent="0.35">
      <c r="A82" s="29">
        <v>1</v>
      </c>
      <c r="B82" s="1" t="s">
        <v>3617</v>
      </c>
      <c r="C82" s="1"/>
      <c r="D82" s="1" t="s">
        <v>413</v>
      </c>
      <c r="E82" s="1" t="s">
        <v>414</v>
      </c>
      <c r="F82" s="1" t="s">
        <v>21</v>
      </c>
      <c r="G82" s="5" t="s">
        <v>415</v>
      </c>
      <c r="H82" s="1" t="s">
        <v>17</v>
      </c>
      <c r="I82" s="2">
        <v>46086</v>
      </c>
      <c r="J82" s="33">
        <f t="shared" si="11"/>
        <v>251033</v>
      </c>
      <c r="K82" s="3">
        <v>18144</v>
      </c>
      <c r="L82" s="3">
        <v>211056</v>
      </c>
      <c r="M82" s="3">
        <v>20833</v>
      </c>
      <c r="N82" s="3">
        <v>0</v>
      </c>
      <c r="O82" s="3">
        <v>1000</v>
      </c>
      <c r="P82" s="1" t="s">
        <v>416</v>
      </c>
      <c r="Q82" s="3">
        <v>264731</v>
      </c>
      <c r="R82" s="25">
        <f t="shared" si="12"/>
        <v>1.0545665310935215</v>
      </c>
      <c r="S82" s="32">
        <f>J82</f>
        <v>251033</v>
      </c>
      <c r="T82" s="3">
        <f t="shared" si="14"/>
        <v>0</v>
      </c>
      <c r="U82" s="1" t="s">
        <v>3615</v>
      </c>
      <c r="V82" s="16">
        <v>1</v>
      </c>
      <c r="W82" s="28">
        <f t="shared" si="15"/>
        <v>1</v>
      </c>
      <c r="X82" s="27">
        <f t="shared" si="16"/>
        <v>1</v>
      </c>
      <c r="Y82" s="18"/>
      <c r="Z82" s="19"/>
    </row>
    <row r="83" spans="1:26" x14ac:dyDescent="0.35">
      <c r="A83" s="29">
        <v>1</v>
      </c>
      <c r="B83" s="1" t="s">
        <v>3617</v>
      </c>
      <c r="C83" s="1"/>
      <c r="D83" s="1" t="s">
        <v>317</v>
      </c>
      <c r="E83" s="1" t="s">
        <v>318</v>
      </c>
      <c r="F83" s="1" t="s">
        <v>21</v>
      </c>
      <c r="G83" s="5" t="s">
        <v>319</v>
      </c>
      <c r="H83" s="1" t="s">
        <v>17</v>
      </c>
      <c r="I83" s="2">
        <v>46086</v>
      </c>
      <c r="J83" s="33">
        <f t="shared" si="11"/>
        <v>71009</v>
      </c>
      <c r="K83" s="3">
        <v>7539</v>
      </c>
      <c r="L83" s="3">
        <v>56637</v>
      </c>
      <c r="M83" s="3">
        <v>5833</v>
      </c>
      <c r="N83" s="3">
        <v>0</v>
      </c>
      <c r="O83" s="3">
        <v>1000</v>
      </c>
      <c r="P83" s="1" t="s">
        <v>320</v>
      </c>
      <c r="Q83" s="3">
        <v>91572</v>
      </c>
      <c r="R83" s="25">
        <f t="shared" si="12"/>
        <v>1.2895830106042896</v>
      </c>
      <c r="S83" s="32">
        <f>J83</f>
        <v>71009</v>
      </c>
      <c r="T83" s="3">
        <f t="shared" si="14"/>
        <v>0</v>
      </c>
      <c r="U83" s="1" t="s">
        <v>3615</v>
      </c>
      <c r="V83" s="16">
        <v>1</v>
      </c>
      <c r="W83" s="28">
        <f t="shared" si="15"/>
        <v>1</v>
      </c>
      <c r="X83" s="27">
        <f t="shared" si="16"/>
        <v>1</v>
      </c>
      <c r="Y83" s="18"/>
      <c r="Z83" s="19"/>
    </row>
    <row r="84" spans="1:26" x14ac:dyDescent="0.35">
      <c r="A84" s="29">
        <v>1</v>
      </c>
      <c r="B84" s="1" t="s">
        <v>3617</v>
      </c>
      <c r="C84" s="1"/>
      <c r="D84" s="1" t="s">
        <v>474</v>
      </c>
      <c r="E84" s="1" t="s">
        <v>475</v>
      </c>
      <c r="F84" s="1" t="s">
        <v>21</v>
      </c>
      <c r="G84" s="5" t="s">
        <v>476</v>
      </c>
      <c r="H84" s="1" t="s">
        <v>17</v>
      </c>
      <c r="I84" s="2">
        <v>46086</v>
      </c>
      <c r="J84" s="33">
        <f t="shared" si="11"/>
        <v>151735</v>
      </c>
      <c r="K84" s="3">
        <v>18639</v>
      </c>
      <c r="L84" s="3">
        <v>119596</v>
      </c>
      <c r="M84" s="3">
        <v>12500</v>
      </c>
      <c r="N84" s="3">
        <v>0</v>
      </c>
      <c r="O84" s="3">
        <v>1000</v>
      </c>
      <c r="P84" s="1" t="s">
        <v>477</v>
      </c>
      <c r="Q84" s="3">
        <v>96113</v>
      </c>
      <c r="R84" s="25">
        <f t="shared" si="12"/>
        <v>0.63342669786140315</v>
      </c>
      <c r="S84" s="32">
        <f>Q84</f>
        <v>96113</v>
      </c>
      <c r="T84" s="31">
        <f t="shared" si="14"/>
        <v>-55622</v>
      </c>
      <c r="U84" s="1" t="s">
        <v>3616</v>
      </c>
      <c r="V84" s="16"/>
      <c r="W84" s="30">
        <f t="shared" si="15"/>
        <v>0</v>
      </c>
      <c r="X84" s="27">
        <f t="shared" si="16"/>
        <v>0.63342669786140315</v>
      </c>
      <c r="Y84" s="18"/>
      <c r="Z84" s="19"/>
    </row>
    <row r="85" spans="1:26" x14ac:dyDescent="0.35">
      <c r="A85" s="29">
        <v>1</v>
      </c>
      <c r="B85" s="1" t="s">
        <v>3617</v>
      </c>
      <c r="C85" s="1"/>
      <c r="D85" s="1" t="s">
        <v>118</v>
      </c>
      <c r="E85" s="1" t="s">
        <v>119</v>
      </c>
      <c r="F85" s="1" t="s">
        <v>21</v>
      </c>
      <c r="G85" s="5" t="s">
        <v>120</v>
      </c>
      <c r="H85" s="1" t="s">
        <v>17</v>
      </c>
      <c r="I85" s="2">
        <v>46086</v>
      </c>
      <c r="J85" s="33">
        <f t="shared" si="11"/>
        <v>201980</v>
      </c>
      <c r="K85" s="3">
        <v>15577</v>
      </c>
      <c r="L85" s="3">
        <v>168736</v>
      </c>
      <c r="M85" s="3">
        <v>16667</v>
      </c>
      <c r="N85" s="3">
        <v>0</v>
      </c>
      <c r="O85" s="3">
        <v>1000</v>
      </c>
      <c r="P85" s="1" t="s">
        <v>121</v>
      </c>
      <c r="Q85" s="3">
        <v>179093</v>
      </c>
      <c r="R85" s="25">
        <f t="shared" si="12"/>
        <v>0.88668680067333394</v>
      </c>
      <c r="S85" s="32">
        <f>Q85</f>
        <v>179093</v>
      </c>
      <c r="T85" s="31">
        <f t="shared" si="14"/>
        <v>-22887</v>
      </c>
      <c r="U85" s="1" t="s">
        <v>3616</v>
      </c>
      <c r="V85" s="16"/>
      <c r="W85" s="30">
        <f t="shared" si="15"/>
        <v>0</v>
      </c>
      <c r="X85" s="27">
        <f t="shared" si="16"/>
        <v>0.88668680067333394</v>
      </c>
      <c r="Y85" s="18"/>
      <c r="Z85" s="19"/>
    </row>
    <row r="86" spans="1:26" x14ac:dyDescent="0.35">
      <c r="A86" s="29">
        <v>1</v>
      </c>
      <c r="B86" s="1" t="s">
        <v>3617</v>
      </c>
      <c r="C86" s="1"/>
      <c r="D86" s="1" t="s">
        <v>153</v>
      </c>
      <c r="E86" s="1" t="s">
        <v>154</v>
      </c>
      <c r="F86" s="1" t="s">
        <v>21</v>
      </c>
      <c r="G86" s="5" t="s">
        <v>155</v>
      </c>
      <c r="H86" s="1" t="s">
        <v>17</v>
      </c>
      <c r="I86" s="2">
        <v>46086</v>
      </c>
      <c r="J86" s="33">
        <f t="shared" si="11"/>
        <v>71009</v>
      </c>
      <c r="K86" s="3">
        <v>5091</v>
      </c>
      <c r="L86" s="3">
        <v>59085</v>
      </c>
      <c r="M86" s="3">
        <v>5833</v>
      </c>
      <c r="N86" s="3">
        <v>0</v>
      </c>
      <c r="O86" s="3">
        <v>1000</v>
      </c>
      <c r="P86" s="1" t="s">
        <v>156</v>
      </c>
      <c r="Q86" s="3">
        <v>58444</v>
      </c>
      <c r="R86" s="25">
        <f t="shared" si="12"/>
        <v>0.82305059921981716</v>
      </c>
      <c r="S86" s="32">
        <f>Q86</f>
        <v>58444</v>
      </c>
      <c r="T86" s="31">
        <f t="shared" si="14"/>
        <v>-12565</v>
      </c>
      <c r="U86" s="1" t="s">
        <v>3616</v>
      </c>
      <c r="V86" s="16"/>
      <c r="W86" s="30">
        <f t="shared" si="15"/>
        <v>0</v>
      </c>
      <c r="X86" s="27">
        <f t="shared" si="16"/>
        <v>0.82305059921981716</v>
      </c>
      <c r="Y86" s="18"/>
      <c r="Z86" s="19"/>
    </row>
    <row r="87" spans="1:26" x14ac:dyDescent="0.35">
      <c r="A87" s="29">
        <v>1</v>
      </c>
      <c r="B87" s="1" t="s">
        <v>3617</v>
      </c>
      <c r="C87" s="1"/>
      <c r="D87" s="1" t="s">
        <v>437</v>
      </c>
      <c r="E87" s="1" t="s">
        <v>438</v>
      </c>
      <c r="F87" s="1" t="s">
        <v>21</v>
      </c>
      <c r="G87" s="5" t="s">
        <v>439</v>
      </c>
      <c r="H87" s="1" t="s">
        <v>17</v>
      </c>
      <c r="I87" s="2">
        <v>46086</v>
      </c>
      <c r="J87" s="33">
        <f t="shared" si="11"/>
        <v>101013</v>
      </c>
      <c r="K87" s="3">
        <v>8466</v>
      </c>
      <c r="L87" s="3">
        <v>83214</v>
      </c>
      <c r="M87" s="3">
        <v>8333</v>
      </c>
      <c r="N87" s="3">
        <v>0</v>
      </c>
      <c r="O87" s="3">
        <v>1000</v>
      </c>
      <c r="P87" s="1" t="s">
        <v>440</v>
      </c>
      <c r="Q87" s="3">
        <v>225600</v>
      </c>
      <c r="R87" s="25">
        <f t="shared" si="12"/>
        <v>2.2333759021116095</v>
      </c>
      <c r="S87" s="32">
        <f t="shared" ref="S87:S92" si="17">J87</f>
        <v>101013</v>
      </c>
      <c r="T87" s="3">
        <f t="shared" si="14"/>
        <v>0</v>
      </c>
      <c r="U87" s="1" t="s">
        <v>3615</v>
      </c>
      <c r="V87" s="16">
        <v>1</v>
      </c>
      <c r="W87" s="28">
        <f t="shared" si="15"/>
        <v>1</v>
      </c>
      <c r="X87" s="27">
        <f t="shared" si="16"/>
        <v>1</v>
      </c>
      <c r="Y87" s="18"/>
      <c r="Z87" s="19"/>
    </row>
    <row r="88" spans="1:26" x14ac:dyDescent="0.35">
      <c r="A88" s="29">
        <v>1</v>
      </c>
      <c r="B88" s="1" t="s">
        <v>3617</v>
      </c>
      <c r="C88" s="1"/>
      <c r="D88" s="1" t="s">
        <v>29</v>
      </c>
      <c r="E88" s="1" t="s">
        <v>30</v>
      </c>
      <c r="F88" s="1" t="s">
        <v>21</v>
      </c>
      <c r="G88" s="5" t="s">
        <v>31</v>
      </c>
      <c r="H88" s="1" t="s">
        <v>32</v>
      </c>
      <c r="I88" s="2">
        <v>46086</v>
      </c>
      <c r="J88" s="33">
        <f t="shared" si="11"/>
        <v>31004</v>
      </c>
      <c r="K88" s="3">
        <v>2557</v>
      </c>
      <c r="L88" s="3">
        <v>24947</v>
      </c>
      <c r="M88" s="3">
        <v>2500</v>
      </c>
      <c r="N88" s="3">
        <v>0</v>
      </c>
      <c r="O88" s="3">
        <v>1000</v>
      </c>
      <c r="P88" s="1" t="s">
        <v>33</v>
      </c>
      <c r="Q88" s="3">
        <v>95480</v>
      </c>
      <c r="R88" s="25">
        <f t="shared" si="12"/>
        <v>3.079602631918462</v>
      </c>
      <c r="S88" s="32">
        <f t="shared" si="17"/>
        <v>31004</v>
      </c>
      <c r="T88" s="3">
        <f t="shared" si="14"/>
        <v>0</v>
      </c>
      <c r="U88" s="1" t="s">
        <v>3615</v>
      </c>
      <c r="V88" s="16">
        <v>1</v>
      </c>
      <c r="W88" s="28">
        <f t="shared" si="15"/>
        <v>1</v>
      </c>
      <c r="X88" s="27">
        <f t="shared" si="16"/>
        <v>1</v>
      </c>
      <c r="Y88" s="18"/>
      <c r="Z88" s="19"/>
    </row>
    <row r="89" spans="1:26" x14ac:dyDescent="0.35">
      <c r="A89" s="29">
        <v>1</v>
      </c>
      <c r="B89" s="1" t="s">
        <v>3617</v>
      </c>
      <c r="C89" s="1"/>
      <c r="D89" s="1" t="s">
        <v>38</v>
      </c>
      <c r="E89" s="1" t="s">
        <v>39</v>
      </c>
      <c r="F89" s="1" t="s">
        <v>21</v>
      </c>
      <c r="G89" s="5" t="s">
        <v>40</v>
      </c>
      <c r="H89" s="1" t="s">
        <v>17</v>
      </c>
      <c r="I89" s="2">
        <v>46086</v>
      </c>
      <c r="J89" s="33">
        <f t="shared" si="11"/>
        <v>51007</v>
      </c>
      <c r="K89" s="3">
        <v>4828</v>
      </c>
      <c r="L89" s="3">
        <v>41012</v>
      </c>
      <c r="M89" s="3">
        <v>4167</v>
      </c>
      <c r="N89" s="3">
        <v>0</v>
      </c>
      <c r="O89" s="3">
        <v>1000</v>
      </c>
      <c r="P89" s="1" t="s">
        <v>41</v>
      </c>
      <c r="Q89" s="3">
        <v>137940</v>
      </c>
      <c r="R89" s="25">
        <f t="shared" si="12"/>
        <v>2.704334699158939</v>
      </c>
      <c r="S89" s="32">
        <f t="shared" si="17"/>
        <v>51007</v>
      </c>
      <c r="T89" s="3">
        <f t="shared" si="14"/>
        <v>0</v>
      </c>
      <c r="U89" s="1" t="s">
        <v>3615</v>
      </c>
      <c r="V89" s="16">
        <v>1</v>
      </c>
      <c r="W89" s="28">
        <f t="shared" si="15"/>
        <v>1</v>
      </c>
      <c r="X89" s="27">
        <f t="shared" si="16"/>
        <v>1</v>
      </c>
      <c r="Y89" s="18"/>
      <c r="Z89" s="19"/>
    </row>
    <row r="90" spans="1:26" x14ac:dyDescent="0.35">
      <c r="A90" s="29">
        <v>1</v>
      </c>
      <c r="B90" s="1" t="s">
        <v>3617</v>
      </c>
      <c r="C90" s="1"/>
      <c r="D90" s="1" t="s">
        <v>96</v>
      </c>
      <c r="E90" s="1" t="s">
        <v>97</v>
      </c>
      <c r="F90" s="1" t="s">
        <v>21</v>
      </c>
      <c r="G90" s="5" t="s">
        <v>98</v>
      </c>
      <c r="H90" s="1" t="s">
        <v>17</v>
      </c>
      <c r="I90" s="2">
        <v>46086</v>
      </c>
      <c r="J90" s="33">
        <f t="shared" si="11"/>
        <v>250622</v>
      </c>
      <c r="K90" s="3">
        <v>36438</v>
      </c>
      <c r="L90" s="3">
        <v>193953</v>
      </c>
      <c r="M90" s="3">
        <v>19231</v>
      </c>
      <c r="N90" s="3">
        <v>0</v>
      </c>
      <c r="O90" s="3">
        <v>1000</v>
      </c>
      <c r="P90" s="1" t="s">
        <v>99</v>
      </c>
      <c r="Q90" s="3">
        <v>629246</v>
      </c>
      <c r="R90" s="25">
        <f t="shared" si="12"/>
        <v>2.5107372856333443</v>
      </c>
      <c r="S90" s="32">
        <f t="shared" si="17"/>
        <v>250622</v>
      </c>
      <c r="T90" s="3">
        <f t="shared" si="14"/>
        <v>0</v>
      </c>
      <c r="U90" s="1" t="s">
        <v>3615</v>
      </c>
      <c r="V90" s="16">
        <v>1</v>
      </c>
      <c r="W90" s="28">
        <f t="shared" si="15"/>
        <v>1</v>
      </c>
      <c r="X90" s="27">
        <f t="shared" si="16"/>
        <v>1</v>
      </c>
      <c r="Y90" s="18"/>
      <c r="Z90" s="19"/>
    </row>
    <row r="91" spans="1:26" x14ac:dyDescent="0.35">
      <c r="A91" s="29">
        <v>1</v>
      </c>
      <c r="B91" s="1" t="s">
        <v>3617</v>
      </c>
      <c r="C91" s="1"/>
      <c r="D91" s="1" t="s">
        <v>313</v>
      </c>
      <c r="E91" s="1" t="s">
        <v>314</v>
      </c>
      <c r="F91" s="1" t="s">
        <v>21</v>
      </c>
      <c r="G91" s="5" t="s">
        <v>315</v>
      </c>
      <c r="H91" s="1" t="s">
        <v>32</v>
      </c>
      <c r="I91" s="2">
        <v>46086</v>
      </c>
      <c r="J91" s="33">
        <f t="shared" si="11"/>
        <v>175598</v>
      </c>
      <c r="K91" s="3">
        <v>29589</v>
      </c>
      <c r="L91" s="3">
        <v>131120</v>
      </c>
      <c r="M91" s="3">
        <v>13889</v>
      </c>
      <c r="N91" s="3">
        <v>0</v>
      </c>
      <c r="O91" s="3">
        <v>1000</v>
      </c>
      <c r="P91" s="1" t="s">
        <v>316</v>
      </c>
      <c r="Q91" s="3">
        <v>1315364</v>
      </c>
      <c r="R91" s="25">
        <f t="shared" si="12"/>
        <v>7.4907686875704735</v>
      </c>
      <c r="S91" s="32">
        <f t="shared" si="17"/>
        <v>175598</v>
      </c>
      <c r="T91" s="3">
        <f t="shared" si="14"/>
        <v>0</v>
      </c>
      <c r="U91" s="1" t="s">
        <v>3615</v>
      </c>
      <c r="V91" s="16">
        <v>1</v>
      </c>
      <c r="W91" s="28">
        <f t="shared" si="15"/>
        <v>1</v>
      </c>
      <c r="X91" s="27">
        <f t="shared" si="16"/>
        <v>1</v>
      </c>
      <c r="Y91" s="18"/>
      <c r="Z91" s="19"/>
    </row>
    <row r="92" spans="1:26" x14ac:dyDescent="0.35">
      <c r="A92" s="29">
        <v>1</v>
      </c>
      <c r="B92" s="1" t="s">
        <v>3617</v>
      </c>
      <c r="C92" s="1"/>
      <c r="D92" s="1" t="s">
        <v>304</v>
      </c>
      <c r="E92" s="1" t="s">
        <v>305</v>
      </c>
      <c r="F92" s="1" t="s">
        <v>21</v>
      </c>
      <c r="G92" s="5" t="s">
        <v>306</v>
      </c>
      <c r="H92" s="1" t="s">
        <v>17</v>
      </c>
      <c r="I92" s="2">
        <v>46086</v>
      </c>
      <c r="J92" s="33">
        <f t="shared" si="11"/>
        <v>201980</v>
      </c>
      <c r="K92" s="3">
        <v>17905</v>
      </c>
      <c r="L92" s="3">
        <v>166408</v>
      </c>
      <c r="M92" s="3">
        <v>16667</v>
      </c>
      <c r="N92" s="3">
        <v>0</v>
      </c>
      <c r="O92" s="3">
        <v>1000</v>
      </c>
      <c r="P92" s="1" t="s">
        <v>307</v>
      </c>
      <c r="Q92" s="3">
        <v>211418</v>
      </c>
      <c r="R92" s="25">
        <f t="shared" si="12"/>
        <v>1.0467273987523518</v>
      </c>
      <c r="S92" s="32">
        <f t="shared" si="17"/>
        <v>201980</v>
      </c>
      <c r="T92" s="3">
        <f t="shared" si="14"/>
        <v>0</v>
      </c>
      <c r="U92" s="1" t="s">
        <v>3615</v>
      </c>
      <c r="V92" s="16">
        <v>1</v>
      </c>
      <c r="W92" s="28">
        <f t="shared" si="15"/>
        <v>1</v>
      </c>
      <c r="X92" s="27">
        <f t="shared" si="16"/>
        <v>1</v>
      </c>
      <c r="Y92" s="18"/>
      <c r="Z92" s="19"/>
    </row>
    <row r="93" spans="1:26" x14ac:dyDescent="0.35">
      <c r="A93" s="29">
        <v>1</v>
      </c>
      <c r="B93" s="1" t="s">
        <v>3617</v>
      </c>
      <c r="C93" s="1"/>
      <c r="D93" s="1" t="s">
        <v>42</v>
      </c>
      <c r="E93" s="1" t="s">
        <v>43</v>
      </c>
      <c r="F93" s="1" t="s">
        <v>21</v>
      </c>
      <c r="G93" s="5" t="s">
        <v>44</v>
      </c>
      <c r="H93" s="1" t="s">
        <v>17</v>
      </c>
      <c r="I93" s="2">
        <v>46086</v>
      </c>
      <c r="J93" s="33">
        <f t="shared" si="11"/>
        <v>101490</v>
      </c>
      <c r="K93" s="3">
        <v>10219</v>
      </c>
      <c r="L93" s="3">
        <v>81938</v>
      </c>
      <c r="M93" s="3">
        <v>8333</v>
      </c>
      <c r="N93" s="3">
        <v>0</v>
      </c>
      <c r="O93" s="3">
        <v>1000</v>
      </c>
      <c r="P93" s="1" t="s">
        <v>45</v>
      </c>
      <c r="Q93" s="3">
        <v>67348</v>
      </c>
      <c r="R93" s="25">
        <f t="shared" si="12"/>
        <v>0.66359247216474526</v>
      </c>
      <c r="S93" s="32">
        <f>Q93</f>
        <v>67348</v>
      </c>
      <c r="T93" s="31">
        <f t="shared" si="14"/>
        <v>-34142</v>
      </c>
      <c r="U93" s="1" t="s">
        <v>3616</v>
      </c>
      <c r="V93" s="16"/>
      <c r="W93" s="30">
        <f t="shared" si="15"/>
        <v>0</v>
      </c>
      <c r="X93" s="27">
        <f t="shared" si="16"/>
        <v>0.66359247216474526</v>
      </c>
      <c r="Y93" s="18"/>
      <c r="Z93" s="19"/>
    </row>
    <row r="94" spans="1:26" x14ac:dyDescent="0.35">
      <c r="A94" s="29">
        <v>1</v>
      </c>
      <c r="B94" s="1" t="s">
        <v>3617</v>
      </c>
      <c r="C94" s="1"/>
      <c r="D94" s="1" t="s">
        <v>384</v>
      </c>
      <c r="E94" s="1" t="s">
        <v>385</v>
      </c>
      <c r="F94" s="1" t="s">
        <v>21</v>
      </c>
      <c r="G94" s="5" t="s">
        <v>386</v>
      </c>
      <c r="H94" s="1" t="s">
        <v>17</v>
      </c>
      <c r="I94" s="2">
        <v>46086</v>
      </c>
      <c r="J94" s="33">
        <f t="shared" si="11"/>
        <v>108627</v>
      </c>
      <c r="K94" s="3">
        <v>13808</v>
      </c>
      <c r="L94" s="3">
        <v>85486</v>
      </c>
      <c r="M94" s="3">
        <v>8333</v>
      </c>
      <c r="N94" s="3">
        <v>0</v>
      </c>
      <c r="O94" s="3">
        <v>1000</v>
      </c>
      <c r="P94" s="1" t="s">
        <v>387</v>
      </c>
      <c r="Q94" s="3">
        <v>72342</v>
      </c>
      <c r="R94" s="25">
        <f t="shared" si="12"/>
        <v>0.66596702477284653</v>
      </c>
      <c r="S94" s="32">
        <f>Q94</f>
        <v>72342</v>
      </c>
      <c r="T94" s="31">
        <f t="shared" si="14"/>
        <v>-36285</v>
      </c>
      <c r="U94" s="1" t="s">
        <v>3616</v>
      </c>
      <c r="V94" s="16"/>
      <c r="W94" s="30">
        <f t="shared" si="15"/>
        <v>0</v>
      </c>
      <c r="X94" s="27">
        <f t="shared" si="16"/>
        <v>0.66596702477284653</v>
      </c>
      <c r="Y94" s="18"/>
      <c r="Z94" s="19"/>
    </row>
    <row r="95" spans="1:26" x14ac:dyDescent="0.35">
      <c r="A95" s="29">
        <v>1</v>
      </c>
      <c r="B95" s="1" t="s">
        <v>3617</v>
      </c>
      <c r="C95" s="1"/>
      <c r="D95" s="1" t="s">
        <v>459</v>
      </c>
      <c r="E95" s="1" t="s">
        <v>460</v>
      </c>
      <c r="F95" s="1" t="s">
        <v>21</v>
      </c>
      <c r="G95" s="5" t="s">
        <v>461</v>
      </c>
      <c r="H95" s="1" t="s">
        <v>17</v>
      </c>
      <c r="I95" s="2">
        <v>46086</v>
      </c>
      <c r="J95" s="33">
        <f t="shared" si="11"/>
        <v>151020</v>
      </c>
      <c r="K95" s="3">
        <v>14366</v>
      </c>
      <c r="L95" s="3">
        <v>123154</v>
      </c>
      <c r="M95" s="3">
        <v>12500</v>
      </c>
      <c r="N95" s="3">
        <v>0</v>
      </c>
      <c r="O95" s="3">
        <v>1000</v>
      </c>
      <c r="P95" s="1" t="s">
        <v>462</v>
      </c>
      <c r="Q95" s="3">
        <v>278420</v>
      </c>
      <c r="R95" s="25">
        <f t="shared" si="12"/>
        <v>1.8435968745861475</v>
      </c>
      <c r="S95" s="32">
        <f>J95</f>
        <v>151020</v>
      </c>
      <c r="T95" s="3">
        <f t="shared" si="14"/>
        <v>0</v>
      </c>
      <c r="U95" s="1" t="s">
        <v>3615</v>
      </c>
      <c r="V95" s="16">
        <v>1</v>
      </c>
      <c r="W95" s="28">
        <f t="shared" si="15"/>
        <v>1</v>
      </c>
      <c r="X95" s="27">
        <f t="shared" si="16"/>
        <v>1</v>
      </c>
      <c r="Y95" s="18"/>
      <c r="Z95" s="19"/>
    </row>
    <row r="96" spans="1:26" x14ac:dyDescent="0.35">
      <c r="A96" s="29">
        <v>1</v>
      </c>
      <c r="B96" s="1" t="s">
        <v>3617</v>
      </c>
      <c r="C96" s="1"/>
      <c r="D96" s="1" t="s">
        <v>446</v>
      </c>
      <c r="E96" s="1" t="s">
        <v>447</v>
      </c>
      <c r="F96" s="1" t="s">
        <v>21</v>
      </c>
      <c r="G96" s="5" t="s">
        <v>448</v>
      </c>
      <c r="H96" s="1" t="s">
        <v>17</v>
      </c>
      <c r="I96" s="2">
        <v>46086</v>
      </c>
      <c r="J96" s="33">
        <f t="shared" si="11"/>
        <v>51007</v>
      </c>
      <c r="K96" s="3">
        <v>4789</v>
      </c>
      <c r="L96" s="3">
        <v>41051</v>
      </c>
      <c r="M96" s="3">
        <v>4167</v>
      </c>
      <c r="N96" s="3">
        <v>0</v>
      </c>
      <c r="O96" s="3">
        <v>1000</v>
      </c>
      <c r="P96" s="1" t="s">
        <v>449</v>
      </c>
      <c r="Q96" s="3">
        <v>11097</v>
      </c>
      <c r="R96" s="25">
        <f t="shared" si="12"/>
        <v>0.21755837434077677</v>
      </c>
      <c r="S96" s="32">
        <f>Q96</f>
        <v>11097</v>
      </c>
      <c r="T96" s="31">
        <f t="shared" si="14"/>
        <v>-39910</v>
      </c>
      <c r="U96" s="1" t="s">
        <v>3616</v>
      </c>
      <c r="V96" s="16"/>
      <c r="W96" s="30">
        <f t="shared" si="15"/>
        <v>0</v>
      </c>
      <c r="X96" s="27">
        <f t="shared" si="16"/>
        <v>0.21755837434077677</v>
      </c>
      <c r="Y96" s="18"/>
      <c r="Z96" s="19"/>
    </row>
    <row r="97" spans="1:26" x14ac:dyDescent="0.35">
      <c r="A97" s="29">
        <v>1</v>
      </c>
      <c r="B97" s="1" t="s">
        <v>3617</v>
      </c>
      <c r="C97" s="1"/>
      <c r="D97" s="1" t="s">
        <v>34</v>
      </c>
      <c r="E97" s="1" t="s">
        <v>35</v>
      </c>
      <c r="F97" s="1" t="s">
        <v>21</v>
      </c>
      <c r="G97" s="5" t="s">
        <v>36</v>
      </c>
      <c r="H97" s="1" t="s">
        <v>17</v>
      </c>
      <c r="I97" s="2">
        <v>46086</v>
      </c>
      <c r="J97" s="33">
        <f t="shared" si="11"/>
        <v>101013</v>
      </c>
      <c r="K97" s="3">
        <v>9656</v>
      </c>
      <c r="L97" s="3">
        <v>82024</v>
      </c>
      <c r="M97" s="3">
        <v>8333</v>
      </c>
      <c r="N97" s="3">
        <v>0</v>
      </c>
      <c r="O97" s="3">
        <v>1000</v>
      </c>
      <c r="P97" s="1" t="s">
        <v>37</v>
      </c>
      <c r="Q97" s="3">
        <v>204280</v>
      </c>
      <c r="R97" s="25">
        <f t="shared" si="12"/>
        <v>2.02231395958936</v>
      </c>
      <c r="S97" s="32">
        <f>J97</f>
        <v>101013</v>
      </c>
      <c r="T97" s="3">
        <f t="shared" si="14"/>
        <v>0</v>
      </c>
      <c r="U97" s="1" t="s">
        <v>3615</v>
      </c>
      <c r="V97" s="16">
        <v>1</v>
      </c>
      <c r="W97" s="28">
        <f t="shared" si="15"/>
        <v>1</v>
      </c>
      <c r="X97" s="27">
        <f t="shared" si="16"/>
        <v>1</v>
      </c>
      <c r="Y97" s="18"/>
      <c r="Z97" s="19"/>
    </row>
    <row r="98" spans="1:26" x14ac:dyDescent="0.35">
      <c r="A98" s="29">
        <v>1</v>
      </c>
      <c r="B98" s="1" t="s">
        <v>3617</v>
      </c>
      <c r="C98" s="1"/>
      <c r="D98" s="1" t="s">
        <v>478</v>
      </c>
      <c r="E98" s="1" t="s">
        <v>479</v>
      </c>
      <c r="F98" s="1" t="s">
        <v>21</v>
      </c>
      <c r="G98" s="5" t="s">
        <v>480</v>
      </c>
      <c r="H98" s="1" t="s">
        <v>17</v>
      </c>
      <c r="I98" s="2">
        <v>46086</v>
      </c>
      <c r="J98" s="33">
        <f t="shared" si="11"/>
        <v>51007</v>
      </c>
      <c r="K98" s="3">
        <v>5876</v>
      </c>
      <c r="L98" s="3">
        <v>39964</v>
      </c>
      <c r="M98" s="3">
        <v>4167</v>
      </c>
      <c r="N98" s="3">
        <v>0</v>
      </c>
      <c r="O98" s="3">
        <v>1000</v>
      </c>
      <c r="P98" s="1" t="s">
        <v>481</v>
      </c>
      <c r="Q98" s="3">
        <v>122586</v>
      </c>
      <c r="R98" s="25">
        <f t="shared" si="12"/>
        <v>2.4033171917579939</v>
      </c>
      <c r="S98" s="32">
        <f>J98</f>
        <v>51007</v>
      </c>
      <c r="T98" s="3">
        <f t="shared" si="14"/>
        <v>0</v>
      </c>
      <c r="U98" s="1" t="s">
        <v>3615</v>
      </c>
      <c r="V98" s="16">
        <v>1</v>
      </c>
      <c r="W98" s="28">
        <f t="shared" si="15"/>
        <v>1</v>
      </c>
      <c r="X98" s="27">
        <f t="shared" si="16"/>
        <v>1</v>
      </c>
      <c r="Y98" s="18"/>
      <c r="Z98" s="19"/>
    </row>
    <row r="99" spans="1:26" x14ac:dyDescent="0.35">
      <c r="A99" s="29">
        <v>1</v>
      </c>
      <c r="B99" s="1" t="s">
        <v>3617</v>
      </c>
      <c r="C99" s="1"/>
      <c r="D99" s="1" t="s">
        <v>450</v>
      </c>
      <c r="E99" s="1" t="s">
        <v>451</v>
      </c>
      <c r="F99" s="1" t="s">
        <v>21</v>
      </c>
      <c r="G99" s="5" t="s">
        <v>452</v>
      </c>
      <c r="H99" s="1" t="s">
        <v>17</v>
      </c>
      <c r="I99" s="2">
        <v>46086</v>
      </c>
      <c r="J99" s="33">
        <f t="shared" ref="J99:J130" si="18">SUM(K99:O99)</f>
        <v>51007</v>
      </c>
      <c r="K99" s="3">
        <v>4789</v>
      </c>
      <c r="L99" s="3">
        <v>41051</v>
      </c>
      <c r="M99" s="3">
        <v>4167</v>
      </c>
      <c r="N99" s="3">
        <v>0</v>
      </c>
      <c r="O99" s="3">
        <v>1000</v>
      </c>
      <c r="P99" s="1" t="s">
        <v>453</v>
      </c>
      <c r="Q99" s="3">
        <v>40113</v>
      </c>
      <c r="R99" s="25">
        <f t="shared" ref="R99:R130" si="19">Q99/J99</f>
        <v>0.78642147156272668</v>
      </c>
      <c r="S99" s="32">
        <f>Q99</f>
        <v>40113</v>
      </c>
      <c r="T99" s="31">
        <f t="shared" ref="T99:T130" si="20">S99-J99</f>
        <v>-10894</v>
      </c>
      <c r="U99" s="1" t="s">
        <v>3616</v>
      </c>
      <c r="V99" s="16"/>
      <c r="W99" s="30">
        <f t="shared" si="15"/>
        <v>0</v>
      </c>
      <c r="X99" s="27">
        <f t="shared" ref="X99:X121" si="21">S99/J99</f>
        <v>0.78642147156272668</v>
      </c>
      <c r="Y99" s="18"/>
      <c r="Z99" s="19"/>
    </row>
    <row r="100" spans="1:26" x14ac:dyDescent="0.35">
      <c r="A100" s="29">
        <v>1</v>
      </c>
      <c r="B100" s="1" t="s">
        <v>3617</v>
      </c>
      <c r="C100" s="1"/>
      <c r="D100" s="1" t="s">
        <v>296</v>
      </c>
      <c r="E100" s="1" t="s">
        <v>297</v>
      </c>
      <c r="F100" s="1" t="s">
        <v>21</v>
      </c>
      <c r="G100" s="5" t="s">
        <v>298</v>
      </c>
      <c r="H100" s="1" t="s">
        <v>17</v>
      </c>
      <c r="I100" s="2">
        <v>46086</v>
      </c>
      <c r="J100" s="33">
        <f t="shared" si="18"/>
        <v>30812</v>
      </c>
      <c r="K100" s="3">
        <v>4142</v>
      </c>
      <c r="L100" s="3">
        <v>23362</v>
      </c>
      <c r="M100" s="3">
        <v>2308</v>
      </c>
      <c r="N100" s="3">
        <v>0</v>
      </c>
      <c r="O100" s="3">
        <v>1000</v>
      </c>
      <c r="P100" s="1" t="s">
        <v>299</v>
      </c>
      <c r="Q100" s="3">
        <v>109399</v>
      </c>
      <c r="R100" s="25">
        <f t="shared" si="19"/>
        <v>3.5505322601583797</v>
      </c>
      <c r="S100" s="32">
        <f>J100</f>
        <v>30812</v>
      </c>
      <c r="T100" s="3">
        <f t="shared" si="20"/>
        <v>0</v>
      </c>
      <c r="U100" s="1" t="s">
        <v>3615</v>
      </c>
      <c r="V100" s="16">
        <v>1</v>
      </c>
      <c r="W100" s="28">
        <f t="shared" si="15"/>
        <v>1</v>
      </c>
      <c r="X100" s="27">
        <f t="shared" si="21"/>
        <v>1</v>
      </c>
      <c r="Y100" s="18"/>
      <c r="Z100" s="19"/>
    </row>
    <row r="101" spans="1:26" x14ac:dyDescent="0.35">
      <c r="A101" s="29">
        <v>1</v>
      </c>
      <c r="B101" s="1" t="s">
        <v>3617</v>
      </c>
      <c r="C101" s="1"/>
      <c r="D101" s="1" t="s">
        <v>321</v>
      </c>
      <c r="E101" s="1" t="s">
        <v>322</v>
      </c>
      <c r="F101" s="1" t="s">
        <v>21</v>
      </c>
      <c r="G101" s="5" t="s">
        <v>323</v>
      </c>
      <c r="H101" s="1" t="s">
        <v>17</v>
      </c>
      <c r="I101" s="2">
        <v>46086</v>
      </c>
      <c r="J101" s="33">
        <f t="shared" si="18"/>
        <v>51007</v>
      </c>
      <c r="K101" s="3">
        <v>5385</v>
      </c>
      <c r="L101" s="3">
        <v>40455</v>
      </c>
      <c r="M101" s="3">
        <v>4167</v>
      </c>
      <c r="N101" s="3">
        <v>0</v>
      </c>
      <c r="O101" s="3">
        <v>1000</v>
      </c>
      <c r="P101" s="1" t="s">
        <v>324</v>
      </c>
      <c r="Q101" s="3">
        <v>106980</v>
      </c>
      <c r="R101" s="25">
        <f t="shared" si="19"/>
        <v>2.0973591859940792</v>
      </c>
      <c r="S101" s="32">
        <f>J101</f>
        <v>51007</v>
      </c>
      <c r="T101" s="3">
        <f t="shared" si="20"/>
        <v>0</v>
      </c>
      <c r="U101" s="1" t="s">
        <v>3615</v>
      </c>
      <c r="V101" s="16">
        <v>1</v>
      </c>
      <c r="W101" s="28">
        <f t="shared" si="15"/>
        <v>1</v>
      </c>
      <c r="X101" s="27">
        <f t="shared" si="21"/>
        <v>1</v>
      </c>
      <c r="Y101" s="18"/>
      <c r="Z101" s="19"/>
    </row>
    <row r="102" spans="1:26" x14ac:dyDescent="0.35">
      <c r="A102" s="29">
        <v>1</v>
      </c>
      <c r="B102" s="1" t="s">
        <v>3617</v>
      </c>
      <c r="C102" s="1"/>
      <c r="D102" s="1" t="s">
        <v>344</v>
      </c>
      <c r="E102" s="1" t="s">
        <v>345</v>
      </c>
      <c r="F102" s="1" t="s">
        <v>21</v>
      </c>
      <c r="G102" s="5" t="s">
        <v>346</v>
      </c>
      <c r="H102" s="1" t="s">
        <v>17</v>
      </c>
      <c r="I102" s="2">
        <v>46086</v>
      </c>
      <c r="J102" s="33">
        <f t="shared" si="18"/>
        <v>51007</v>
      </c>
      <c r="K102" s="3">
        <v>5872</v>
      </c>
      <c r="L102" s="3">
        <v>39968</v>
      </c>
      <c r="M102" s="3">
        <v>4167</v>
      </c>
      <c r="N102" s="3">
        <v>0</v>
      </c>
      <c r="O102" s="3">
        <v>1000</v>
      </c>
      <c r="P102" s="1" t="s">
        <v>347</v>
      </c>
      <c r="Q102" s="3">
        <v>40820</v>
      </c>
      <c r="R102" s="25">
        <f t="shared" si="19"/>
        <v>0.80028231419216966</v>
      </c>
      <c r="S102" s="32">
        <f>Q102</f>
        <v>40820</v>
      </c>
      <c r="T102" s="31">
        <f t="shared" si="20"/>
        <v>-10187</v>
      </c>
      <c r="U102" s="1" t="s">
        <v>3616</v>
      </c>
      <c r="V102" s="16"/>
      <c r="W102" s="30">
        <f t="shared" si="15"/>
        <v>0</v>
      </c>
      <c r="X102" s="27">
        <f t="shared" si="21"/>
        <v>0.80028231419216966</v>
      </c>
      <c r="Y102" s="18"/>
      <c r="Z102" s="19"/>
    </row>
    <row r="103" spans="1:26" x14ac:dyDescent="0.35">
      <c r="A103" s="29">
        <v>1</v>
      </c>
      <c r="B103" s="1" t="s">
        <v>3617</v>
      </c>
      <c r="C103" s="1"/>
      <c r="D103" s="1" t="s">
        <v>46</v>
      </c>
      <c r="E103" s="1" t="s">
        <v>47</v>
      </c>
      <c r="F103" s="1" t="s">
        <v>21</v>
      </c>
      <c r="G103" s="5" t="s">
        <v>48</v>
      </c>
      <c r="H103" s="1" t="s">
        <v>17</v>
      </c>
      <c r="I103" s="2">
        <v>46086</v>
      </c>
      <c r="J103" s="33">
        <f t="shared" si="18"/>
        <v>101490</v>
      </c>
      <c r="K103" s="3">
        <v>11346</v>
      </c>
      <c r="L103" s="3">
        <v>80811</v>
      </c>
      <c r="M103" s="3">
        <v>8333</v>
      </c>
      <c r="N103" s="3">
        <v>0</v>
      </c>
      <c r="O103" s="3">
        <v>1000</v>
      </c>
      <c r="P103" s="1" t="s">
        <v>49</v>
      </c>
      <c r="Q103" s="3">
        <v>197529</v>
      </c>
      <c r="R103" s="25">
        <f t="shared" si="19"/>
        <v>1.9462902749039315</v>
      </c>
      <c r="S103" s="32">
        <f>J103</f>
        <v>101490</v>
      </c>
      <c r="T103" s="3">
        <f t="shared" si="20"/>
        <v>0</v>
      </c>
      <c r="U103" s="1" t="s">
        <v>3615</v>
      </c>
      <c r="V103" s="16">
        <v>1</v>
      </c>
      <c r="W103" s="28">
        <f t="shared" si="15"/>
        <v>1</v>
      </c>
      <c r="X103" s="27">
        <f t="shared" si="21"/>
        <v>1</v>
      </c>
      <c r="Y103" s="18"/>
      <c r="Z103" s="19"/>
    </row>
    <row r="104" spans="1:26" x14ac:dyDescent="0.35">
      <c r="A104" s="29">
        <v>1</v>
      </c>
      <c r="B104" s="1" t="s">
        <v>3617</v>
      </c>
      <c r="C104" s="1"/>
      <c r="D104" s="1" t="s">
        <v>335</v>
      </c>
      <c r="E104" s="1" t="s">
        <v>336</v>
      </c>
      <c r="F104" s="1" t="s">
        <v>21</v>
      </c>
      <c r="G104" s="5" t="s">
        <v>337</v>
      </c>
      <c r="H104" s="1" t="s">
        <v>17</v>
      </c>
      <c r="I104" s="2">
        <v>46086</v>
      </c>
      <c r="J104" s="33">
        <f t="shared" si="18"/>
        <v>51007</v>
      </c>
      <c r="K104" s="3">
        <v>5876</v>
      </c>
      <c r="L104" s="3">
        <v>39964</v>
      </c>
      <c r="M104" s="3">
        <v>4167</v>
      </c>
      <c r="N104" s="3">
        <v>0</v>
      </c>
      <c r="O104" s="3">
        <v>1000</v>
      </c>
      <c r="P104" s="1" t="s">
        <v>338</v>
      </c>
      <c r="Q104" s="3">
        <v>117820</v>
      </c>
      <c r="R104" s="25">
        <f t="shared" si="19"/>
        <v>2.3098790362107162</v>
      </c>
      <c r="S104" s="32">
        <f>J104</f>
        <v>51007</v>
      </c>
      <c r="T104" s="3">
        <f t="shared" si="20"/>
        <v>0</v>
      </c>
      <c r="U104" s="1" t="s">
        <v>3615</v>
      </c>
      <c r="V104" s="16">
        <v>1</v>
      </c>
      <c r="W104" s="28">
        <f t="shared" si="15"/>
        <v>1</v>
      </c>
      <c r="X104" s="27">
        <f t="shared" si="21"/>
        <v>1</v>
      </c>
      <c r="Y104" s="18"/>
      <c r="Z104" s="19"/>
    </row>
    <row r="105" spans="1:26" x14ac:dyDescent="0.35">
      <c r="A105" s="29">
        <v>1</v>
      </c>
      <c r="B105" s="1" t="s">
        <v>3617</v>
      </c>
      <c r="C105" s="1"/>
      <c r="D105" s="1" t="s">
        <v>357</v>
      </c>
      <c r="E105" s="1" t="s">
        <v>358</v>
      </c>
      <c r="F105" s="1" t="s">
        <v>21</v>
      </c>
      <c r="G105" s="5" t="s">
        <v>359</v>
      </c>
      <c r="H105" s="1" t="s">
        <v>17</v>
      </c>
      <c r="I105" s="2">
        <v>46086</v>
      </c>
      <c r="J105" s="33">
        <f t="shared" si="18"/>
        <v>66288</v>
      </c>
      <c r="K105" s="3">
        <v>10497</v>
      </c>
      <c r="L105" s="3">
        <v>49458</v>
      </c>
      <c r="M105" s="3">
        <v>5333</v>
      </c>
      <c r="N105" s="3">
        <v>0</v>
      </c>
      <c r="O105" s="3">
        <v>1000</v>
      </c>
      <c r="P105" s="1" t="s">
        <v>360</v>
      </c>
      <c r="Q105" s="3">
        <v>110145</v>
      </c>
      <c r="R105" s="25">
        <f t="shared" si="19"/>
        <v>1.661612961622013</v>
      </c>
      <c r="S105" s="32">
        <f>J105</f>
        <v>66288</v>
      </c>
      <c r="T105" s="3">
        <f t="shared" si="20"/>
        <v>0</v>
      </c>
      <c r="U105" s="1" t="s">
        <v>3615</v>
      </c>
      <c r="V105" s="16">
        <v>1</v>
      </c>
      <c r="W105" s="28">
        <f t="shared" si="15"/>
        <v>1</v>
      </c>
      <c r="X105" s="27">
        <f t="shared" si="21"/>
        <v>1</v>
      </c>
      <c r="Y105" s="18"/>
      <c r="Z105" s="19"/>
    </row>
    <row r="106" spans="1:26" x14ac:dyDescent="0.35">
      <c r="A106" s="29">
        <v>1</v>
      </c>
      <c r="B106" s="1" t="s">
        <v>3617</v>
      </c>
      <c r="C106" s="1"/>
      <c r="D106" s="1" t="s">
        <v>375</v>
      </c>
      <c r="E106" s="1" t="s">
        <v>376</v>
      </c>
      <c r="F106" s="1" t="s">
        <v>21</v>
      </c>
      <c r="G106" s="5" t="s">
        <v>377</v>
      </c>
      <c r="H106" s="1" t="s">
        <v>17</v>
      </c>
      <c r="I106" s="2">
        <v>46086</v>
      </c>
      <c r="J106" s="33">
        <f t="shared" si="18"/>
        <v>217210</v>
      </c>
      <c r="K106" s="3">
        <v>29151</v>
      </c>
      <c r="L106" s="3">
        <v>170392</v>
      </c>
      <c r="M106" s="3">
        <v>16667</v>
      </c>
      <c r="N106" s="3">
        <v>0</v>
      </c>
      <c r="O106" s="3">
        <v>1000</v>
      </c>
      <c r="P106" s="1" t="s">
        <v>378</v>
      </c>
      <c r="Q106" s="3">
        <v>132045</v>
      </c>
      <c r="R106" s="25">
        <f t="shared" si="19"/>
        <v>0.60791400027623033</v>
      </c>
      <c r="S106" s="32">
        <f>Q106</f>
        <v>132045</v>
      </c>
      <c r="T106" s="31">
        <f t="shared" si="20"/>
        <v>-85165</v>
      </c>
      <c r="U106" s="1" t="s">
        <v>3616</v>
      </c>
      <c r="V106" s="16"/>
      <c r="W106" s="30">
        <f t="shared" si="15"/>
        <v>0</v>
      </c>
      <c r="X106" s="27">
        <f t="shared" si="21"/>
        <v>0.60791400027623033</v>
      </c>
      <c r="Y106" s="18"/>
      <c r="Z106" s="19"/>
    </row>
    <row r="107" spans="1:26" x14ac:dyDescent="0.35">
      <c r="A107" s="29">
        <v>1</v>
      </c>
      <c r="B107" s="1" t="s">
        <v>3617</v>
      </c>
      <c r="C107" s="1"/>
      <c r="D107" s="1" t="s">
        <v>274</v>
      </c>
      <c r="E107" s="1" t="s">
        <v>275</v>
      </c>
      <c r="F107" s="1" t="s">
        <v>21</v>
      </c>
      <c r="G107" s="5" t="s">
        <v>276</v>
      </c>
      <c r="H107" s="1" t="s">
        <v>17</v>
      </c>
      <c r="I107" s="2">
        <v>46086</v>
      </c>
      <c r="J107" s="33">
        <f t="shared" si="18"/>
        <v>30812</v>
      </c>
      <c r="K107" s="3">
        <v>4142</v>
      </c>
      <c r="L107" s="3">
        <v>23362</v>
      </c>
      <c r="M107" s="3">
        <v>2308</v>
      </c>
      <c r="N107" s="3">
        <v>0</v>
      </c>
      <c r="O107" s="3">
        <v>1000</v>
      </c>
      <c r="P107" s="1" t="s">
        <v>277</v>
      </c>
      <c r="Q107" s="3">
        <v>34955</v>
      </c>
      <c r="R107" s="25">
        <f t="shared" si="19"/>
        <v>1.1344605997663249</v>
      </c>
      <c r="S107" s="32">
        <f>J107</f>
        <v>30812</v>
      </c>
      <c r="T107" s="3">
        <f t="shared" si="20"/>
        <v>0</v>
      </c>
      <c r="U107" s="1" t="s">
        <v>3615</v>
      </c>
      <c r="V107" s="16">
        <v>1</v>
      </c>
      <c r="W107" s="28">
        <f t="shared" si="15"/>
        <v>1</v>
      </c>
      <c r="X107" s="27">
        <f t="shared" si="21"/>
        <v>1</v>
      </c>
      <c r="Y107" s="18"/>
      <c r="Z107" s="19"/>
    </row>
    <row r="108" spans="1:26" x14ac:dyDescent="0.35">
      <c r="A108" s="29">
        <v>1</v>
      </c>
      <c r="B108" s="1" t="s">
        <v>3617</v>
      </c>
      <c r="C108" s="1"/>
      <c r="D108" s="1" t="s">
        <v>353</v>
      </c>
      <c r="E108" s="1" t="s">
        <v>354</v>
      </c>
      <c r="F108" s="1" t="s">
        <v>21</v>
      </c>
      <c r="G108" s="5" t="s">
        <v>355</v>
      </c>
      <c r="H108" s="1" t="s">
        <v>17</v>
      </c>
      <c r="I108" s="2">
        <v>46086</v>
      </c>
      <c r="J108" s="33">
        <f t="shared" si="18"/>
        <v>101013</v>
      </c>
      <c r="K108" s="3">
        <v>11738</v>
      </c>
      <c r="L108" s="3">
        <v>79942</v>
      </c>
      <c r="M108" s="3">
        <v>8333</v>
      </c>
      <c r="N108" s="3">
        <v>0</v>
      </c>
      <c r="O108" s="3">
        <v>1000</v>
      </c>
      <c r="P108" s="1" t="s">
        <v>356</v>
      </c>
      <c r="Q108" s="3">
        <v>76682</v>
      </c>
      <c r="R108" s="25">
        <f t="shared" si="19"/>
        <v>0.75913001296862781</v>
      </c>
      <c r="S108" s="32">
        <f>Q108</f>
        <v>76682</v>
      </c>
      <c r="T108" s="31">
        <f t="shared" si="20"/>
        <v>-24331</v>
      </c>
      <c r="U108" s="1" t="s">
        <v>3616</v>
      </c>
      <c r="V108" s="16"/>
      <c r="W108" s="30">
        <f t="shared" si="15"/>
        <v>0</v>
      </c>
      <c r="X108" s="27">
        <f t="shared" si="21"/>
        <v>0.75913001296862781</v>
      </c>
      <c r="Y108" s="18"/>
      <c r="Z108" s="19"/>
    </row>
    <row r="109" spans="1:26" x14ac:dyDescent="0.35">
      <c r="A109" s="29">
        <v>1</v>
      </c>
      <c r="B109" s="1" t="s">
        <v>3617</v>
      </c>
      <c r="C109" s="1"/>
      <c r="D109" s="1" t="s">
        <v>83</v>
      </c>
      <c r="E109" s="1" t="s">
        <v>84</v>
      </c>
      <c r="F109" s="1" t="s">
        <v>21</v>
      </c>
      <c r="G109" s="5" t="s">
        <v>85</v>
      </c>
      <c r="H109" s="1" t="s">
        <v>17</v>
      </c>
      <c r="I109" s="2">
        <v>46086</v>
      </c>
      <c r="J109" s="33">
        <f t="shared" si="18"/>
        <v>100372</v>
      </c>
      <c r="K109" s="3">
        <v>13808</v>
      </c>
      <c r="L109" s="3">
        <v>77872</v>
      </c>
      <c r="M109" s="3">
        <v>7692</v>
      </c>
      <c r="N109" s="3">
        <v>0</v>
      </c>
      <c r="O109" s="3">
        <v>1000</v>
      </c>
      <c r="P109" s="1" t="s">
        <v>86</v>
      </c>
      <c r="Q109" s="3">
        <v>148157</v>
      </c>
      <c r="R109" s="25">
        <f t="shared" si="19"/>
        <v>1.4760789861714423</v>
      </c>
      <c r="S109" s="32">
        <f t="shared" ref="S109:S118" si="22">J109</f>
        <v>100372</v>
      </c>
      <c r="T109" s="3">
        <f t="shared" si="20"/>
        <v>0</v>
      </c>
      <c r="U109" s="1" t="s">
        <v>3615</v>
      </c>
      <c r="V109" s="16">
        <v>1</v>
      </c>
      <c r="W109" s="28">
        <f t="shared" si="15"/>
        <v>1</v>
      </c>
      <c r="X109" s="27">
        <f t="shared" si="21"/>
        <v>1</v>
      </c>
      <c r="Y109" s="18"/>
      <c r="Z109" s="19"/>
    </row>
    <row r="110" spans="1:26" x14ac:dyDescent="0.35">
      <c r="A110" s="29">
        <v>1</v>
      </c>
      <c r="B110" s="1" t="s">
        <v>3617</v>
      </c>
      <c r="C110" s="1"/>
      <c r="D110" s="1" t="s">
        <v>87</v>
      </c>
      <c r="E110" s="1" t="s">
        <v>88</v>
      </c>
      <c r="F110" s="1" t="s">
        <v>21</v>
      </c>
      <c r="G110" s="5" t="s">
        <v>89</v>
      </c>
      <c r="H110" s="1" t="s">
        <v>17</v>
      </c>
      <c r="I110" s="2">
        <v>46086</v>
      </c>
      <c r="J110" s="33">
        <f t="shared" si="18"/>
        <v>30812</v>
      </c>
      <c r="K110" s="3">
        <v>4142</v>
      </c>
      <c r="L110" s="3">
        <v>23362</v>
      </c>
      <c r="M110" s="3">
        <v>2308</v>
      </c>
      <c r="N110" s="3">
        <v>0</v>
      </c>
      <c r="O110" s="3">
        <v>1000</v>
      </c>
      <c r="P110" s="1" t="s">
        <v>90</v>
      </c>
      <c r="Q110" s="3">
        <v>99447</v>
      </c>
      <c r="R110" s="25">
        <f t="shared" si="19"/>
        <v>3.2275412177073868</v>
      </c>
      <c r="S110" s="32">
        <f t="shared" si="22"/>
        <v>30812</v>
      </c>
      <c r="T110" s="3">
        <f t="shared" si="20"/>
        <v>0</v>
      </c>
      <c r="U110" s="1" t="s">
        <v>3615</v>
      </c>
      <c r="V110" s="16">
        <v>1</v>
      </c>
      <c r="W110" s="28">
        <f t="shared" si="15"/>
        <v>1</v>
      </c>
      <c r="X110" s="27">
        <f t="shared" si="21"/>
        <v>1</v>
      </c>
      <c r="Y110" s="18"/>
      <c r="Z110" s="19"/>
    </row>
    <row r="111" spans="1:26" x14ac:dyDescent="0.35">
      <c r="A111" s="29">
        <v>1</v>
      </c>
      <c r="B111" s="1" t="s">
        <v>3617</v>
      </c>
      <c r="C111" s="1"/>
      <c r="D111" s="1" t="s">
        <v>260</v>
      </c>
      <c r="E111" s="1" t="s">
        <v>261</v>
      </c>
      <c r="F111" s="1" t="s">
        <v>21</v>
      </c>
      <c r="G111" s="5" t="s">
        <v>262</v>
      </c>
      <c r="H111" s="1" t="s">
        <v>17</v>
      </c>
      <c r="I111" s="2">
        <v>46086</v>
      </c>
      <c r="J111" s="33">
        <f t="shared" si="18"/>
        <v>61008</v>
      </c>
      <c r="K111" s="3">
        <v>7754</v>
      </c>
      <c r="L111" s="3">
        <v>47254</v>
      </c>
      <c r="M111" s="3">
        <v>5000</v>
      </c>
      <c r="N111" s="3">
        <v>0</v>
      </c>
      <c r="O111" s="3">
        <v>1000</v>
      </c>
      <c r="P111" s="1" t="s">
        <v>263</v>
      </c>
      <c r="Q111" s="3">
        <v>142342</v>
      </c>
      <c r="R111" s="25">
        <f t="shared" si="19"/>
        <v>2.3331694204038813</v>
      </c>
      <c r="S111" s="32">
        <f t="shared" si="22"/>
        <v>61008</v>
      </c>
      <c r="T111" s="3">
        <f t="shared" si="20"/>
        <v>0</v>
      </c>
      <c r="U111" s="1" t="s">
        <v>3615</v>
      </c>
      <c r="V111" s="16">
        <v>1</v>
      </c>
      <c r="W111" s="28">
        <f t="shared" si="15"/>
        <v>1</v>
      </c>
      <c r="X111" s="27">
        <f t="shared" si="21"/>
        <v>1</v>
      </c>
      <c r="Y111" s="18"/>
      <c r="Z111" s="19"/>
    </row>
    <row r="112" spans="1:26" x14ac:dyDescent="0.35">
      <c r="A112" s="29">
        <v>1</v>
      </c>
      <c r="B112" s="1" t="s">
        <v>3617</v>
      </c>
      <c r="C112" s="1"/>
      <c r="D112" s="1" t="s">
        <v>287</v>
      </c>
      <c r="E112" s="1" t="s">
        <v>288</v>
      </c>
      <c r="F112" s="1" t="s">
        <v>21</v>
      </c>
      <c r="G112" s="5" t="s">
        <v>289</v>
      </c>
      <c r="H112" s="1" t="s">
        <v>17</v>
      </c>
      <c r="I112" s="2">
        <v>46086</v>
      </c>
      <c r="J112" s="33">
        <f t="shared" si="18"/>
        <v>30812</v>
      </c>
      <c r="K112" s="3">
        <v>4142</v>
      </c>
      <c r="L112" s="3">
        <v>23362</v>
      </c>
      <c r="M112" s="3">
        <v>2308</v>
      </c>
      <c r="N112" s="3">
        <v>0</v>
      </c>
      <c r="O112" s="3">
        <v>1000</v>
      </c>
      <c r="P112" s="1" t="s">
        <v>290</v>
      </c>
      <c r="Q112" s="3">
        <v>91399</v>
      </c>
      <c r="R112" s="25">
        <f t="shared" si="19"/>
        <v>2.9663442814487864</v>
      </c>
      <c r="S112" s="32">
        <f t="shared" si="22"/>
        <v>30812</v>
      </c>
      <c r="T112" s="3">
        <f t="shared" si="20"/>
        <v>0</v>
      </c>
      <c r="U112" s="1" t="s">
        <v>3615</v>
      </c>
      <c r="V112" s="16">
        <v>1</v>
      </c>
      <c r="W112" s="28">
        <f t="shared" si="15"/>
        <v>1</v>
      </c>
      <c r="X112" s="27">
        <f t="shared" si="21"/>
        <v>1</v>
      </c>
      <c r="Y112" s="18"/>
      <c r="Z112" s="19"/>
    </row>
    <row r="113" spans="1:26" x14ac:dyDescent="0.35">
      <c r="A113" s="29">
        <v>1</v>
      </c>
      <c r="B113" s="1" t="s">
        <v>3617</v>
      </c>
      <c r="C113" s="1"/>
      <c r="D113" s="1" t="s">
        <v>74</v>
      </c>
      <c r="E113" s="1" t="s">
        <v>75</v>
      </c>
      <c r="F113" s="1" t="s">
        <v>21</v>
      </c>
      <c r="G113" s="5" t="s">
        <v>76</v>
      </c>
      <c r="H113" s="1" t="s">
        <v>17</v>
      </c>
      <c r="I113" s="2">
        <v>46086</v>
      </c>
      <c r="J113" s="33">
        <f t="shared" si="18"/>
        <v>81011</v>
      </c>
      <c r="K113" s="3">
        <v>10344</v>
      </c>
      <c r="L113" s="3">
        <v>63000</v>
      </c>
      <c r="M113" s="3">
        <v>6667</v>
      </c>
      <c r="N113" s="3">
        <v>0</v>
      </c>
      <c r="O113" s="3">
        <v>1000</v>
      </c>
      <c r="P113" s="1" t="s">
        <v>77</v>
      </c>
      <c r="Q113" s="3">
        <v>186239</v>
      </c>
      <c r="R113" s="25">
        <f t="shared" si="19"/>
        <v>2.2989347125698978</v>
      </c>
      <c r="S113" s="32">
        <f t="shared" si="22"/>
        <v>81011</v>
      </c>
      <c r="T113" s="3">
        <f t="shared" si="20"/>
        <v>0</v>
      </c>
      <c r="U113" s="1" t="s">
        <v>3615</v>
      </c>
      <c r="V113" s="16">
        <v>1</v>
      </c>
      <c r="W113" s="28">
        <f t="shared" si="15"/>
        <v>1</v>
      </c>
      <c r="X113" s="27">
        <f t="shared" si="21"/>
        <v>1</v>
      </c>
      <c r="Y113" s="18"/>
      <c r="Z113" s="19"/>
    </row>
    <row r="114" spans="1:26" x14ac:dyDescent="0.35">
      <c r="A114" s="29">
        <v>1</v>
      </c>
      <c r="B114" s="1" t="s">
        <v>3617</v>
      </c>
      <c r="C114" s="1"/>
      <c r="D114" s="1" t="s">
        <v>105</v>
      </c>
      <c r="E114" s="1" t="s">
        <v>106</v>
      </c>
      <c r="F114" s="1" t="s">
        <v>21</v>
      </c>
      <c r="G114" s="5" t="s">
        <v>107</v>
      </c>
      <c r="H114" s="1" t="s">
        <v>17</v>
      </c>
      <c r="I114" s="2">
        <v>46086</v>
      </c>
      <c r="J114" s="33">
        <f t="shared" si="18"/>
        <v>51007</v>
      </c>
      <c r="K114" s="3">
        <v>6445</v>
      </c>
      <c r="L114" s="3">
        <v>39395</v>
      </c>
      <c r="M114" s="3">
        <v>4167</v>
      </c>
      <c r="N114" s="3">
        <v>0</v>
      </c>
      <c r="O114" s="3">
        <v>1000</v>
      </c>
      <c r="P114" s="1" t="s">
        <v>108</v>
      </c>
      <c r="Q114" s="3">
        <v>86993</v>
      </c>
      <c r="R114" s="25">
        <f t="shared" si="19"/>
        <v>1.7055110082929794</v>
      </c>
      <c r="S114" s="32">
        <f t="shared" si="22"/>
        <v>51007</v>
      </c>
      <c r="T114" s="3">
        <f t="shared" si="20"/>
        <v>0</v>
      </c>
      <c r="U114" s="1" t="s">
        <v>3615</v>
      </c>
      <c r="V114" s="16">
        <v>1</v>
      </c>
      <c r="W114" s="28">
        <f t="shared" si="15"/>
        <v>1</v>
      </c>
      <c r="X114" s="27">
        <f t="shared" si="21"/>
        <v>1</v>
      </c>
      <c r="Y114" s="18"/>
      <c r="Z114" s="19"/>
    </row>
    <row r="115" spans="1:26" x14ac:dyDescent="0.35">
      <c r="A115" s="29">
        <v>1</v>
      </c>
      <c r="B115" s="1" t="s">
        <v>3617</v>
      </c>
      <c r="C115" s="1"/>
      <c r="D115" s="1" t="s">
        <v>361</v>
      </c>
      <c r="E115" s="1" t="s">
        <v>362</v>
      </c>
      <c r="F115" s="1" t="s">
        <v>21</v>
      </c>
      <c r="G115" s="5" t="s">
        <v>363</v>
      </c>
      <c r="H115" s="1" t="s">
        <v>17</v>
      </c>
      <c r="I115" s="2">
        <v>46086</v>
      </c>
      <c r="J115" s="33">
        <f t="shared" si="18"/>
        <v>108627</v>
      </c>
      <c r="K115" s="3">
        <v>13808</v>
      </c>
      <c r="L115" s="3">
        <v>85486</v>
      </c>
      <c r="M115" s="3">
        <v>8333</v>
      </c>
      <c r="N115" s="3">
        <v>0</v>
      </c>
      <c r="O115" s="3">
        <v>1000</v>
      </c>
      <c r="P115" s="1" t="s">
        <v>364</v>
      </c>
      <c r="Q115" s="3">
        <v>226649</v>
      </c>
      <c r="R115" s="25">
        <f t="shared" si="19"/>
        <v>2.086488626216318</v>
      </c>
      <c r="S115" s="32">
        <f t="shared" si="22"/>
        <v>108627</v>
      </c>
      <c r="T115" s="3">
        <f t="shared" si="20"/>
        <v>0</v>
      </c>
      <c r="U115" s="1" t="s">
        <v>3615</v>
      </c>
      <c r="V115" s="16">
        <v>1</v>
      </c>
      <c r="W115" s="28">
        <f t="shared" si="15"/>
        <v>1</v>
      </c>
      <c r="X115" s="27">
        <f t="shared" si="21"/>
        <v>1</v>
      </c>
      <c r="Y115" s="18"/>
      <c r="Z115" s="19"/>
    </row>
    <row r="116" spans="1:26" x14ac:dyDescent="0.35">
      <c r="A116" s="29">
        <v>1</v>
      </c>
      <c r="B116" s="1" t="s">
        <v>3617</v>
      </c>
      <c r="C116" s="1"/>
      <c r="D116" s="1" t="s">
        <v>181</v>
      </c>
      <c r="E116" s="1" t="s">
        <v>182</v>
      </c>
      <c r="F116" s="1" t="s">
        <v>21</v>
      </c>
      <c r="G116" s="5" t="s">
        <v>183</v>
      </c>
      <c r="H116" s="1" t="s">
        <v>17</v>
      </c>
      <c r="I116" s="2">
        <v>46086</v>
      </c>
      <c r="J116" s="33">
        <f t="shared" si="18"/>
        <v>50686</v>
      </c>
      <c r="K116" s="3">
        <v>6904</v>
      </c>
      <c r="L116" s="3">
        <v>38936</v>
      </c>
      <c r="M116" s="3">
        <v>3846</v>
      </c>
      <c r="N116" s="3">
        <v>0</v>
      </c>
      <c r="O116" s="3">
        <v>1000</v>
      </c>
      <c r="P116" s="1" t="s">
        <v>184</v>
      </c>
      <c r="Q116" s="3">
        <v>136079</v>
      </c>
      <c r="R116" s="25">
        <f t="shared" si="19"/>
        <v>2.6847452945586552</v>
      </c>
      <c r="S116" s="32">
        <f t="shared" si="22"/>
        <v>50686</v>
      </c>
      <c r="T116" s="3">
        <f t="shared" si="20"/>
        <v>0</v>
      </c>
      <c r="U116" s="1" t="s">
        <v>3615</v>
      </c>
      <c r="V116" s="16">
        <v>1</v>
      </c>
      <c r="W116" s="28">
        <f t="shared" si="15"/>
        <v>1</v>
      </c>
      <c r="X116" s="27">
        <f t="shared" si="21"/>
        <v>1</v>
      </c>
      <c r="Y116" s="18"/>
      <c r="Z116" s="19"/>
    </row>
    <row r="117" spans="1:26" x14ac:dyDescent="0.35">
      <c r="A117" s="29">
        <v>1</v>
      </c>
      <c r="B117" s="1" t="s">
        <v>3617</v>
      </c>
      <c r="C117" s="1"/>
      <c r="D117" s="1" t="s">
        <v>109</v>
      </c>
      <c r="E117" s="1" t="s">
        <v>110</v>
      </c>
      <c r="F117" s="1" t="s">
        <v>21</v>
      </c>
      <c r="G117" s="5" t="s">
        <v>111</v>
      </c>
      <c r="H117" s="1" t="s">
        <v>17</v>
      </c>
      <c r="I117" s="2">
        <v>46086</v>
      </c>
      <c r="J117" s="33">
        <f t="shared" si="18"/>
        <v>31004</v>
      </c>
      <c r="K117" s="3">
        <v>6066</v>
      </c>
      <c r="L117" s="3">
        <v>21438</v>
      </c>
      <c r="M117" s="3">
        <v>2500</v>
      </c>
      <c r="N117" s="3">
        <v>0</v>
      </c>
      <c r="O117" s="3">
        <v>1000</v>
      </c>
      <c r="P117" s="1" t="s">
        <v>112</v>
      </c>
      <c r="Q117" s="3">
        <v>59500</v>
      </c>
      <c r="R117" s="25">
        <f t="shared" si="19"/>
        <v>1.9191072119726487</v>
      </c>
      <c r="S117" s="32">
        <f t="shared" si="22"/>
        <v>31004</v>
      </c>
      <c r="T117" s="3">
        <f t="shared" si="20"/>
        <v>0</v>
      </c>
      <c r="U117" s="1" t="s">
        <v>3615</v>
      </c>
      <c r="V117" s="16">
        <v>1</v>
      </c>
      <c r="W117" s="28">
        <f t="shared" si="15"/>
        <v>1</v>
      </c>
      <c r="X117" s="27">
        <f t="shared" si="21"/>
        <v>1</v>
      </c>
      <c r="Y117" s="18"/>
      <c r="Z117" s="19"/>
    </row>
    <row r="118" spans="1:26" x14ac:dyDescent="0.35">
      <c r="A118" s="29">
        <v>1</v>
      </c>
      <c r="B118" s="1" t="s">
        <v>3617</v>
      </c>
      <c r="C118" s="1"/>
      <c r="D118" s="1" t="s">
        <v>552</v>
      </c>
      <c r="E118" s="1" t="s">
        <v>553</v>
      </c>
      <c r="F118" s="1" t="s">
        <v>21</v>
      </c>
      <c r="G118" s="5" t="s">
        <v>554</v>
      </c>
      <c r="H118" s="1" t="s">
        <v>17</v>
      </c>
      <c r="I118" s="2">
        <v>46086</v>
      </c>
      <c r="J118" s="33">
        <f t="shared" si="18"/>
        <v>51007</v>
      </c>
      <c r="K118" s="3">
        <v>8630</v>
      </c>
      <c r="L118" s="3">
        <v>37210</v>
      </c>
      <c r="M118" s="3">
        <v>4167</v>
      </c>
      <c r="N118" s="3">
        <v>0</v>
      </c>
      <c r="O118" s="3">
        <v>1000</v>
      </c>
      <c r="P118" s="1" t="s">
        <v>555</v>
      </c>
      <c r="Q118" s="3">
        <v>65100</v>
      </c>
      <c r="R118" s="25">
        <f t="shared" si="19"/>
        <v>1.276295410433862</v>
      </c>
      <c r="S118" s="32">
        <f t="shared" si="22"/>
        <v>51007</v>
      </c>
      <c r="T118" s="3">
        <f t="shared" si="20"/>
        <v>0</v>
      </c>
      <c r="U118" s="1" t="s">
        <v>3615</v>
      </c>
      <c r="V118" s="16">
        <v>1</v>
      </c>
      <c r="W118" s="28">
        <f t="shared" si="15"/>
        <v>1</v>
      </c>
      <c r="X118" s="27">
        <f t="shared" si="21"/>
        <v>1</v>
      </c>
      <c r="Y118" s="18"/>
      <c r="Z118" s="19"/>
    </row>
    <row r="119" spans="1:26" x14ac:dyDescent="0.35">
      <c r="A119" s="29">
        <v>1</v>
      </c>
      <c r="B119" s="1" t="s">
        <v>3617</v>
      </c>
      <c r="C119" s="1"/>
      <c r="D119" s="1" t="s">
        <v>403</v>
      </c>
      <c r="E119" s="1" t="s">
        <v>404</v>
      </c>
      <c r="F119" s="1" t="s">
        <v>21</v>
      </c>
      <c r="G119" s="5" t="s">
        <v>405</v>
      </c>
      <c r="H119" s="1" t="s">
        <v>17</v>
      </c>
      <c r="I119" s="2">
        <v>46086</v>
      </c>
      <c r="J119" s="33">
        <f t="shared" si="18"/>
        <v>201027</v>
      </c>
      <c r="K119" s="3">
        <v>41425</v>
      </c>
      <c r="L119" s="3">
        <v>141935</v>
      </c>
      <c r="M119" s="3">
        <v>16667</v>
      </c>
      <c r="N119" s="3">
        <v>0</v>
      </c>
      <c r="O119" s="3">
        <v>1000</v>
      </c>
      <c r="P119" s="1" t="s">
        <v>406</v>
      </c>
      <c r="Q119" s="3">
        <v>172700</v>
      </c>
      <c r="R119" s="25">
        <f t="shared" si="19"/>
        <v>0.85908858014097611</v>
      </c>
      <c r="S119" s="32">
        <f>Q119</f>
        <v>172700</v>
      </c>
      <c r="T119" s="31">
        <f t="shared" si="20"/>
        <v>-28327</v>
      </c>
      <c r="U119" s="1" t="s">
        <v>3616</v>
      </c>
      <c r="V119" s="16"/>
      <c r="W119" s="30">
        <f t="shared" si="15"/>
        <v>0</v>
      </c>
      <c r="X119" s="27">
        <f t="shared" si="21"/>
        <v>0.85908858014097611</v>
      </c>
      <c r="Y119" s="18"/>
      <c r="Z119" s="19"/>
    </row>
    <row r="120" spans="1:26" x14ac:dyDescent="0.35">
      <c r="A120" s="29">
        <v>1</v>
      </c>
      <c r="B120" s="1" t="s">
        <v>3617</v>
      </c>
      <c r="C120" s="1"/>
      <c r="D120" s="1" t="s">
        <v>543</v>
      </c>
      <c r="E120" s="1" t="s">
        <v>544</v>
      </c>
      <c r="F120" s="1" t="s">
        <v>21</v>
      </c>
      <c r="G120" s="5" t="s">
        <v>545</v>
      </c>
      <c r="H120" s="1" t="s">
        <v>17</v>
      </c>
      <c r="I120" s="2">
        <v>46086</v>
      </c>
      <c r="J120" s="33">
        <f t="shared" si="18"/>
        <v>21003</v>
      </c>
      <c r="K120" s="3">
        <v>4142</v>
      </c>
      <c r="L120" s="3">
        <v>14194</v>
      </c>
      <c r="M120" s="3">
        <v>1667</v>
      </c>
      <c r="N120" s="3">
        <v>0</v>
      </c>
      <c r="O120" s="3">
        <v>1000</v>
      </c>
      <c r="P120" s="1" t="s">
        <v>546</v>
      </c>
      <c r="Q120" s="3">
        <v>52500</v>
      </c>
      <c r="R120" s="25">
        <f t="shared" si="19"/>
        <v>2.4996429081559777</v>
      </c>
      <c r="S120" s="32">
        <f>J120</f>
        <v>21003</v>
      </c>
      <c r="T120" s="3">
        <f t="shared" si="20"/>
        <v>0</v>
      </c>
      <c r="U120" s="1" t="s">
        <v>3615</v>
      </c>
      <c r="V120" s="16">
        <v>1</v>
      </c>
      <c r="W120" s="28">
        <f t="shared" si="15"/>
        <v>1</v>
      </c>
      <c r="X120" s="27">
        <f t="shared" si="21"/>
        <v>1</v>
      </c>
      <c r="Y120" s="18"/>
      <c r="Z120" s="19"/>
    </row>
    <row r="121" spans="1:26" x14ac:dyDescent="0.35">
      <c r="A121" s="29">
        <v>1</v>
      </c>
      <c r="B121" s="1" t="s">
        <v>3617</v>
      </c>
      <c r="C121" s="1"/>
      <c r="D121" s="1" t="s">
        <v>535</v>
      </c>
      <c r="E121" s="1" t="s">
        <v>536</v>
      </c>
      <c r="F121" s="1" t="s">
        <v>21</v>
      </c>
      <c r="G121" s="5" t="s">
        <v>537</v>
      </c>
      <c r="H121" s="1" t="s">
        <v>17</v>
      </c>
      <c r="I121" s="2">
        <v>46086</v>
      </c>
      <c r="J121" s="33">
        <f t="shared" si="18"/>
        <v>101490</v>
      </c>
      <c r="K121" s="3">
        <v>21342</v>
      </c>
      <c r="L121" s="3">
        <v>70815</v>
      </c>
      <c r="M121" s="3">
        <v>8333</v>
      </c>
      <c r="N121" s="3">
        <v>0</v>
      </c>
      <c r="O121" s="3">
        <v>1000</v>
      </c>
      <c r="P121" s="1" t="s">
        <v>538</v>
      </c>
      <c r="Q121" s="3">
        <v>122400</v>
      </c>
      <c r="R121" s="25">
        <f t="shared" si="19"/>
        <v>1.2060301507537687</v>
      </c>
      <c r="S121" s="32">
        <f>J121</f>
        <v>101490</v>
      </c>
      <c r="T121" s="3">
        <f t="shared" si="20"/>
        <v>0</v>
      </c>
      <c r="U121" s="1" t="s">
        <v>3615</v>
      </c>
      <c r="V121" s="16">
        <v>1</v>
      </c>
      <c r="W121" s="28">
        <f t="shared" si="15"/>
        <v>1</v>
      </c>
      <c r="X121" s="27">
        <f t="shared" si="21"/>
        <v>1</v>
      </c>
      <c r="Y121" s="18"/>
      <c r="Z121" s="19"/>
    </row>
    <row r="122" spans="1:26" s="40" customFormat="1" ht="15" thickBot="1" x14ac:dyDescent="0.4">
      <c r="A122" s="34">
        <f>SUM(A3:A121)</f>
        <v>119</v>
      </c>
      <c r="B122" s="73" t="s">
        <v>3635</v>
      </c>
      <c r="C122" s="73"/>
      <c r="D122" s="73"/>
      <c r="E122" s="73"/>
      <c r="F122" s="73"/>
      <c r="G122" s="73"/>
      <c r="H122" s="73"/>
      <c r="I122" s="73"/>
      <c r="J122" s="35">
        <f>SUM(J3:J121)</f>
        <v>13247996</v>
      </c>
      <c r="K122" s="36">
        <f t="shared" ref="K122:V122" si="23">SUM(K3:K121)</f>
        <v>1601977</v>
      </c>
      <c r="L122" s="36">
        <f t="shared" si="23"/>
        <v>10458829</v>
      </c>
      <c r="M122" s="36">
        <f t="shared" si="23"/>
        <v>1068190</v>
      </c>
      <c r="N122" s="36">
        <f t="shared" si="23"/>
        <v>0</v>
      </c>
      <c r="O122" s="36">
        <f t="shared" si="23"/>
        <v>119000</v>
      </c>
      <c r="P122" s="36">
        <f t="shared" si="23"/>
        <v>0</v>
      </c>
      <c r="Q122" s="36">
        <f t="shared" si="23"/>
        <v>25675540</v>
      </c>
      <c r="R122" s="36"/>
      <c r="S122" s="45">
        <f t="shared" si="23"/>
        <v>10690662</v>
      </c>
      <c r="T122" s="37">
        <f t="shared" si="23"/>
        <v>-2557334</v>
      </c>
      <c r="U122" s="35">
        <f t="shared" si="23"/>
        <v>0</v>
      </c>
      <c r="V122" s="35">
        <f t="shared" si="23"/>
        <v>87</v>
      </c>
      <c r="W122" s="38">
        <f t="shared" si="15"/>
        <v>0.73109243697478987</v>
      </c>
      <c r="X122" s="39">
        <f t="shared" ref="X122" si="24">S122/J122</f>
        <v>0.80696446466318372</v>
      </c>
    </row>
    <row r="123" spans="1:26" x14ac:dyDescent="0.35">
      <c r="A123" s="29">
        <v>1</v>
      </c>
      <c r="B123" s="1" t="s">
        <v>3618</v>
      </c>
      <c r="C123" s="1"/>
      <c r="D123" s="1" t="s">
        <v>644</v>
      </c>
      <c r="E123" s="1" t="s">
        <v>645</v>
      </c>
      <c r="F123" s="1" t="s">
        <v>646</v>
      </c>
      <c r="G123" s="5" t="s">
        <v>647</v>
      </c>
      <c r="H123" s="1" t="s">
        <v>17</v>
      </c>
      <c r="I123" s="2">
        <v>46086</v>
      </c>
      <c r="J123" s="33">
        <f t="shared" ref="J123:J153" si="25">SUM(K123:O123)</f>
        <v>100372</v>
      </c>
      <c r="K123" s="3">
        <v>8358</v>
      </c>
      <c r="L123" s="3">
        <v>83322</v>
      </c>
      <c r="M123" s="3">
        <v>7692</v>
      </c>
      <c r="N123" s="3">
        <v>0</v>
      </c>
      <c r="O123" s="3">
        <v>1000</v>
      </c>
      <c r="P123" s="1" t="s">
        <v>648</v>
      </c>
      <c r="Q123" s="3">
        <v>270660</v>
      </c>
      <c r="R123" s="25">
        <f t="shared" ref="R123:R153" si="26">Q123/J123</f>
        <v>2.6965687641971865</v>
      </c>
      <c r="S123" s="32">
        <f t="shared" ref="S123:S128" si="27">J123</f>
        <v>100372</v>
      </c>
      <c r="T123" s="3">
        <f t="shared" ref="T123:T153" si="28">S123-J123</f>
        <v>0</v>
      </c>
      <c r="U123" s="1" t="s">
        <v>3615</v>
      </c>
      <c r="V123" s="16">
        <v>1</v>
      </c>
      <c r="W123" s="28">
        <f t="shared" si="15"/>
        <v>1</v>
      </c>
      <c r="X123" s="27">
        <f t="shared" ref="X123:X153" si="29">S123/J123</f>
        <v>1</v>
      </c>
      <c r="Y123" s="18"/>
      <c r="Z123" s="19"/>
    </row>
    <row r="124" spans="1:26" x14ac:dyDescent="0.35">
      <c r="A124" s="29">
        <v>1</v>
      </c>
      <c r="B124" s="1" t="s">
        <v>3618</v>
      </c>
      <c r="C124" s="1"/>
      <c r="D124" s="1" t="s">
        <v>664</v>
      </c>
      <c r="E124" s="1" t="s">
        <v>665</v>
      </c>
      <c r="F124" s="1" t="s">
        <v>666</v>
      </c>
      <c r="G124" s="5" t="s">
        <v>667</v>
      </c>
      <c r="H124" s="1" t="s">
        <v>17</v>
      </c>
      <c r="I124" s="2">
        <v>46086</v>
      </c>
      <c r="J124" s="33">
        <f t="shared" si="25"/>
        <v>130585</v>
      </c>
      <c r="K124" s="3">
        <v>19378</v>
      </c>
      <c r="L124" s="3">
        <v>100207</v>
      </c>
      <c r="M124" s="3">
        <v>10000</v>
      </c>
      <c r="N124" s="3">
        <v>0</v>
      </c>
      <c r="O124" s="3">
        <v>1000</v>
      </c>
      <c r="P124" s="1" t="s">
        <v>668</v>
      </c>
      <c r="Q124" s="3">
        <v>451749</v>
      </c>
      <c r="R124" s="25">
        <f t="shared" si="26"/>
        <v>3.4594248956618294</v>
      </c>
      <c r="S124" s="32">
        <f t="shared" si="27"/>
        <v>130585</v>
      </c>
      <c r="T124" s="3">
        <f t="shared" si="28"/>
        <v>0</v>
      </c>
      <c r="U124" s="1" t="s">
        <v>3615</v>
      </c>
      <c r="V124" s="16">
        <v>1</v>
      </c>
      <c r="W124" s="28">
        <f t="shared" si="15"/>
        <v>1</v>
      </c>
      <c r="X124" s="27">
        <f t="shared" si="29"/>
        <v>1</v>
      </c>
      <c r="Y124" s="18"/>
      <c r="Z124" s="19"/>
    </row>
    <row r="125" spans="1:26" x14ac:dyDescent="0.35">
      <c r="A125" s="29">
        <v>1</v>
      </c>
      <c r="B125" s="1" t="s">
        <v>3618</v>
      </c>
      <c r="C125" s="1"/>
      <c r="D125" s="1" t="s">
        <v>611</v>
      </c>
      <c r="E125" s="1" t="s">
        <v>612</v>
      </c>
      <c r="F125" s="1" t="s">
        <v>613</v>
      </c>
      <c r="G125" s="5" t="s">
        <v>614</v>
      </c>
      <c r="H125" s="1" t="s">
        <v>17</v>
      </c>
      <c r="I125" s="2">
        <v>46086</v>
      </c>
      <c r="J125" s="33">
        <f t="shared" si="25"/>
        <v>218906</v>
      </c>
      <c r="K125" s="3">
        <v>30325</v>
      </c>
      <c r="L125" s="3">
        <v>170914</v>
      </c>
      <c r="M125" s="3">
        <v>16667</v>
      </c>
      <c r="N125" s="3">
        <v>0</v>
      </c>
      <c r="O125" s="3">
        <v>1000</v>
      </c>
      <c r="P125" s="1" t="s">
        <v>615</v>
      </c>
      <c r="Q125" s="3">
        <v>609254</v>
      </c>
      <c r="R125" s="25">
        <f t="shared" si="26"/>
        <v>2.783176340529725</v>
      </c>
      <c r="S125" s="32">
        <f t="shared" si="27"/>
        <v>218906</v>
      </c>
      <c r="T125" s="3">
        <f t="shared" si="28"/>
        <v>0</v>
      </c>
      <c r="U125" s="1" t="s">
        <v>3615</v>
      </c>
      <c r="V125" s="16">
        <v>1</v>
      </c>
      <c r="W125" s="28">
        <f t="shared" si="15"/>
        <v>1</v>
      </c>
      <c r="X125" s="27">
        <f t="shared" si="29"/>
        <v>1</v>
      </c>
      <c r="Y125" s="18"/>
      <c r="Z125" s="19"/>
    </row>
    <row r="126" spans="1:26" x14ac:dyDescent="0.35">
      <c r="A126" s="29">
        <v>1</v>
      </c>
      <c r="B126" s="1" t="s">
        <v>3618</v>
      </c>
      <c r="C126" s="1"/>
      <c r="D126" s="1" t="s">
        <v>654</v>
      </c>
      <c r="E126" s="1" t="s">
        <v>655</v>
      </c>
      <c r="F126" s="1" t="s">
        <v>656</v>
      </c>
      <c r="G126" s="5" t="s">
        <v>657</v>
      </c>
      <c r="H126" s="1" t="s">
        <v>17</v>
      </c>
      <c r="I126" s="2">
        <v>46086</v>
      </c>
      <c r="J126" s="33">
        <f t="shared" si="25"/>
        <v>162441</v>
      </c>
      <c r="K126" s="3">
        <v>13571</v>
      </c>
      <c r="L126" s="3">
        <v>135370</v>
      </c>
      <c r="M126" s="3">
        <v>12500</v>
      </c>
      <c r="N126" s="3">
        <v>0</v>
      </c>
      <c r="O126" s="3">
        <v>1000</v>
      </c>
      <c r="P126" s="1" t="s">
        <v>658</v>
      </c>
      <c r="Q126" s="3">
        <v>209633</v>
      </c>
      <c r="R126" s="25">
        <f t="shared" si="26"/>
        <v>1.2905177879968728</v>
      </c>
      <c r="S126" s="32">
        <f t="shared" si="27"/>
        <v>162441</v>
      </c>
      <c r="T126" s="3">
        <f t="shared" si="28"/>
        <v>0</v>
      </c>
      <c r="U126" s="1" t="s">
        <v>3615</v>
      </c>
      <c r="V126" s="16">
        <v>1</v>
      </c>
      <c r="W126" s="28">
        <f t="shared" si="15"/>
        <v>1</v>
      </c>
      <c r="X126" s="27">
        <f t="shared" si="29"/>
        <v>1</v>
      </c>
      <c r="Y126" s="18"/>
      <c r="Z126" s="19"/>
    </row>
    <row r="127" spans="1:26" x14ac:dyDescent="0.35">
      <c r="A127" s="29">
        <v>1</v>
      </c>
      <c r="B127" s="1" t="s">
        <v>3618</v>
      </c>
      <c r="C127" s="1"/>
      <c r="D127" s="1" t="s">
        <v>693</v>
      </c>
      <c r="E127" s="1" t="s">
        <v>694</v>
      </c>
      <c r="F127" s="1" t="s">
        <v>695</v>
      </c>
      <c r="G127" s="5" t="s">
        <v>696</v>
      </c>
      <c r="H127" s="1" t="s">
        <v>17</v>
      </c>
      <c r="I127" s="2">
        <v>46086</v>
      </c>
      <c r="J127" s="33">
        <f t="shared" si="25"/>
        <v>47964</v>
      </c>
      <c r="K127" s="3">
        <v>36438</v>
      </c>
      <c r="L127" s="3">
        <v>0</v>
      </c>
      <c r="M127" s="3">
        <v>10526</v>
      </c>
      <c r="N127" s="3">
        <v>0</v>
      </c>
      <c r="O127" s="3">
        <v>1000</v>
      </c>
      <c r="P127" s="1" t="s">
        <v>697</v>
      </c>
      <c r="Q127" s="3">
        <v>885706</v>
      </c>
      <c r="R127" s="25">
        <f t="shared" si="26"/>
        <v>18.466057876740891</v>
      </c>
      <c r="S127" s="32">
        <f t="shared" si="27"/>
        <v>47964</v>
      </c>
      <c r="T127" s="3">
        <f t="shared" si="28"/>
        <v>0</v>
      </c>
      <c r="U127" s="1" t="s">
        <v>3615</v>
      </c>
      <c r="V127" s="16">
        <v>1</v>
      </c>
      <c r="W127" s="28">
        <f t="shared" si="15"/>
        <v>1</v>
      </c>
      <c r="X127" s="27">
        <f t="shared" si="29"/>
        <v>1</v>
      </c>
      <c r="Y127" s="18"/>
      <c r="Z127" s="19"/>
    </row>
    <row r="128" spans="1:26" x14ac:dyDescent="0.35">
      <c r="A128" s="29">
        <v>1</v>
      </c>
      <c r="B128" s="1" t="s">
        <v>3618</v>
      </c>
      <c r="C128" s="1"/>
      <c r="D128" s="1" t="s">
        <v>669</v>
      </c>
      <c r="E128" s="1" t="s">
        <v>670</v>
      </c>
      <c r="F128" s="1" t="s">
        <v>671</v>
      </c>
      <c r="G128" s="5" t="s">
        <v>672</v>
      </c>
      <c r="H128" s="1" t="s">
        <v>17</v>
      </c>
      <c r="I128" s="2">
        <v>46086</v>
      </c>
      <c r="J128" s="33">
        <f t="shared" si="25"/>
        <v>146270</v>
      </c>
      <c r="K128" s="3">
        <v>26186</v>
      </c>
      <c r="L128" s="3">
        <v>107973</v>
      </c>
      <c r="M128" s="3">
        <v>11111</v>
      </c>
      <c r="N128" s="3">
        <v>0</v>
      </c>
      <c r="O128" s="3">
        <v>1000</v>
      </c>
      <c r="P128" s="1" t="s">
        <v>673</v>
      </c>
      <c r="Q128" s="3">
        <v>231073</v>
      </c>
      <c r="R128" s="25">
        <f t="shared" si="26"/>
        <v>1.5797702878238873</v>
      </c>
      <c r="S128" s="32">
        <f t="shared" si="27"/>
        <v>146270</v>
      </c>
      <c r="T128" s="3">
        <f t="shared" si="28"/>
        <v>0</v>
      </c>
      <c r="U128" s="1" t="s">
        <v>3615</v>
      </c>
      <c r="V128" s="16">
        <v>1</v>
      </c>
      <c r="W128" s="28">
        <f t="shared" si="15"/>
        <v>1</v>
      </c>
      <c r="X128" s="27">
        <f t="shared" si="29"/>
        <v>1</v>
      </c>
      <c r="Y128" s="18"/>
      <c r="Z128" s="19"/>
    </row>
    <row r="129" spans="1:26" x14ac:dyDescent="0.35">
      <c r="A129" s="29">
        <v>1</v>
      </c>
      <c r="B129" s="1" t="s">
        <v>3618</v>
      </c>
      <c r="C129" s="1"/>
      <c r="D129" s="1" t="s">
        <v>587</v>
      </c>
      <c r="E129" s="1" t="s">
        <v>588</v>
      </c>
      <c r="F129" s="1" t="s">
        <v>589</v>
      </c>
      <c r="G129" s="5" t="s">
        <v>590</v>
      </c>
      <c r="H129" s="1" t="s">
        <v>32</v>
      </c>
      <c r="I129" s="2">
        <v>46086</v>
      </c>
      <c r="J129" s="33">
        <f t="shared" si="25"/>
        <v>346345</v>
      </c>
      <c r="K129" s="3">
        <v>65691</v>
      </c>
      <c r="L129" s="3">
        <v>253338</v>
      </c>
      <c r="M129" s="3">
        <v>26316</v>
      </c>
      <c r="N129" s="3">
        <v>0</v>
      </c>
      <c r="O129" s="3">
        <v>1000</v>
      </c>
      <c r="P129" s="1" t="s">
        <v>591</v>
      </c>
      <c r="Q129" s="3">
        <v>305783</v>
      </c>
      <c r="R129" s="25">
        <f t="shared" si="26"/>
        <v>0.88288556208404911</v>
      </c>
      <c r="S129" s="32">
        <f>Q129</f>
        <v>305783</v>
      </c>
      <c r="T129" s="31">
        <f t="shared" si="28"/>
        <v>-40562</v>
      </c>
      <c r="U129" s="1" t="s">
        <v>3616</v>
      </c>
      <c r="V129" s="16"/>
      <c r="W129" s="30">
        <f t="shared" si="15"/>
        <v>0</v>
      </c>
      <c r="X129" s="27">
        <f t="shared" si="29"/>
        <v>0.88288556208404911</v>
      </c>
      <c r="Y129" s="18"/>
      <c r="Z129" s="19"/>
    </row>
    <row r="130" spans="1:26" x14ac:dyDescent="0.35">
      <c r="A130" s="29">
        <v>1</v>
      </c>
      <c r="B130" s="1" t="s">
        <v>3618</v>
      </c>
      <c r="C130" s="1"/>
      <c r="D130" s="1" t="s">
        <v>639</v>
      </c>
      <c r="E130" s="1" t="s">
        <v>640</v>
      </c>
      <c r="F130" s="1" t="s">
        <v>641</v>
      </c>
      <c r="G130" s="5" t="s">
        <v>642</v>
      </c>
      <c r="H130" s="1" t="s">
        <v>17</v>
      </c>
      <c r="I130" s="2">
        <v>46086</v>
      </c>
      <c r="J130" s="33">
        <f t="shared" si="25"/>
        <v>208206</v>
      </c>
      <c r="K130" s="3">
        <v>39415</v>
      </c>
      <c r="L130" s="3">
        <v>152002</v>
      </c>
      <c r="M130" s="3">
        <v>15789</v>
      </c>
      <c r="N130" s="3">
        <v>0</v>
      </c>
      <c r="O130" s="3">
        <v>1000</v>
      </c>
      <c r="P130" s="1" t="s">
        <v>643</v>
      </c>
      <c r="Q130" s="3">
        <v>281011</v>
      </c>
      <c r="R130" s="25">
        <f t="shared" si="26"/>
        <v>1.3496777230243124</v>
      </c>
      <c r="S130" s="32">
        <f>J130</f>
        <v>208206</v>
      </c>
      <c r="T130" s="3">
        <f t="shared" si="28"/>
        <v>0</v>
      </c>
      <c r="U130" s="1" t="s">
        <v>3615</v>
      </c>
      <c r="V130" s="16">
        <v>1</v>
      </c>
      <c r="W130" s="28">
        <f t="shared" si="15"/>
        <v>1</v>
      </c>
      <c r="X130" s="27">
        <f t="shared" si="29"/>
        <v>1</v>
      </c>
      <c r="Y130" s="18"/>
      <c r="Z130" s="19"/>
    </row>
    <row r="131" spans="1:26" x14ac:dyDescent="0.35">
      <c r="A131" s="29">
        <v>1</v>
      </c>
      <c r="B131" s="1" t="s">
        <v>3618</v>
      </c>
      <c r="C131" s="1"/>
      <c r="D131" s="1" t="s">
        <v>577</v>
      </c>
      <c r="E131" s="1" t="s">
        <v>578</v>
      </c>
      <c r="F131" s="1" t="s">
        <v>579</v>
      </c>
      <c r="G131" s="5" t="s">
        <v>580</v>
      </c>
      <c r="H131" s="1" t="s">
        <v>17</v>
      </c>
      <c r="I131" s="2">
        <v>46086</v>
      </c>
      <c r="J131" s="33">
        <f t="shared" si="25"/>
        <v>208206</v>
      </c>
      <c r="K131" s="3">
        <v>39415</v>
      </c>
      <c r="L131" s="3">
        <v>152002</v>
      </c>
      <c r="M131" s="3">
        <v>15789</v>
      </c>
      <c r="N131" s="3">
        <v>0</v>
      </c>
      <c r="O131" s="3">
        <v>1000</v>
      </c>
      <c r="P131" s="1" t="s">
        <v>581</v>
      </c>
      <c r="Q131" s="3">
        <v>331066</v>
      </c>
      <c r="R131" s="25">
        <f t="shared" si="26"/>
        <v>1.5900886621903307</v>
      </c>
      <c r="S131" s="32">
        <f>J131</f>
        <v>208206</v>
      </c>
      <c r="T131" s="3">
        <f t="shared" si="28"/>
        <v>0</v>
      </c>
      <c r="U131" s="1" t="s">
        <v>3615</v>
      </c>
      <c r="V131" s="16">
        <v>1</v>
      </c>
      <c r="W131" s="28">
        <f t="shared" ref="W131:W194" si="30">V131/A131</f>
        <v>1</v>
      </c>
      <c r="X131" s="27">
        <f t="shared" si="29"/>
        <v>1</v>
      </c>
      <c r="Y131" s="18"/>
      <c r="Z131" s="19"/>
    </row>
    <row r="132" spans="1:26" x14ac:dyDescent="0.35">
      <c r="A132" s="29">
        <v>1</v>
      </c>
      <c r="B132" s="1" t="s">
        <v>3618</v>
      </c>
      <c r="C132" s="1"/>
      <c r="D132" s="1" t="s">
        <v>683</v>
      </c>
      <c r="E132" s="1" t="s">
        <v>684</v>
      </c>
      <c r="F132" s="1" t="s">
        <v>685</v>
      </c>
      <c r="G132" s="5" t="s">
        <v>686</v>
      </c>
      <c r="H132" s="1" t="s">
        <v>32</v>
      </c>
      <c r="I132" s="2">
        <v>46086</v>
      </c>
      <c r="J132" s="33">
        <f t="shared" si="25"/>
        <v>34785</v>
      </c>
      <c r="K132" s="3">
        <v>25890</v>
      </c>
      <c r="L132" s="3">
        <v>0</v>
      </c>
      <c r="M132" s="3">
        <v>7895</v>
      </c>
      <c r="N132" s="3">
        <v>0</v>
      </c>
      <c r="O132" s="3">
        <v>1000</v>
      </c>
      <c r="P132" s="1" t="s">
        <v>687</v>
      </c>
      <c r="Q132" s="3">
        <v>168618</v>
      </c>
      <c r="R132" s="25">
        <f t="shared" si="26"/>
        <v>4.8474342388960761</v>
      </c>
      <c r="S132" s="32">
        <f>J132</f>
        <v>34785</v>
      </c>
      <c r="T132" s="3">
        <f t="shared" si="28"/>
        <v>0</v>
      </c>
      <c r="U132" s="1" t="s">
        <v>3615</v>
      </c>
      <c r="V132" s="16">
        <v>1</v>
      </c>
      <c r="W132" s="28">
        <f t="shared" si="30"/>
        <v>1</v>
      </c>
      <c r="X132" s="27">
        <f t="shared" si="29"/>
        <v>1</v>
      </c>
      <c r="Y132" s="18"/>
      <c r="Z132" s="19"/>
    </row>
    <row r="133" spans="1:26" x14ac:dyDescent="0.35">
      <c r="A133" s="29">
        <v>1</v>
      </c>
      <c r="B133" s="1" t="s">
        <v>3618</v>
      </c>
      <c r="C133" s="1"/>
      <c r="D133" s="1" t="s">
        <v>634</v>
      </c>
      <c r="E133" s="1" t="s">
        <v>635</v>
      </c>
      <c r="F133" s="1" t="s">
        <v>636</v>
      </c>
      <c r="G133" s="5" t="s">
        <v>637</v>
      </c>
      <c r="H133" s="1" t="s">
        <v>17</v>
      </c>
      <c r="I133" s="2">
        <v>46086</v>
      </c>
      <c r="J133" s="33">
        <f t="shared" si="25"/>
        <v>70561</v>
      </c>
      <c r="K133" s="3">
        <v>8927</v>
      </c>
      <c r="L133" s="3">
        <v>55249</v>
      </c>
      <c r="M133" s="3">
        <v>5385</v>
      </c>
      <c r="N133" s="3">
        <v>0</v>
      </c>
      <c r="O133" s="3">
        <v>1000</v>
      </c>
      <c r="P133" s="1" t="s">
        <v>638</v>
      </c>
      <c r="Q133" s="3">
        <v>188227</v>
      </c>
      <c r="R133" s="25">
        <f t="shared" si="26"/>
        <v>2.6675784073354971</v>
      </c>
      <c r="S133" s="32">
        <f>J133</f>
        <v>70561</v>
      </c>
      <c r="T133" s="3">
        <f t="shared" si="28"/>
        <v>0</v>
      </c>
      <c r="U133" s="1" t="s">
        <v>3615</v>
      </c>
      <c r="V133" s="16">
        <v>1</v>
      </c>
      <c r="W133" s="28">
        <f t="shared" si="30"/>
        <v>1</v>
      </c>
      <c r="X133" s="27">
        <f t="shared" si="29"/>
        <v>1</v>
      </c>
      <c r="Y133" s="18"/>
      <c r="Z133" s="19"/>
    </row>
    <row r="134" spans="1:26" x14ac:dyDescent="0.35">
      <c r="A134" s="29">
        <v>1</v>
      </c>
      <c r="B134" s="1" t="s">
        <v>3618</v>
      </c>
      <c r="C134" s="1"/>
      <c r="D134" s="1" t="s">
        <v>659</v>
      </c>
      <c r="E134" s="1" t="s">
        <v>660</v>
      </c>
      <c r="F134" s="1" t="s">
        <v>661</v>
      </c>
      <c r="G134" s="5" t="s">
        <v>662</v>
      </c>
      <c r="H134" s="1" t="s">
        <v>17</v>
      </c>
      <c r="I134" s="2">
        <v>46086</v>
      </c>
      <c r="J134" s="33">
        <f t="shared" si="25"/>
        <v>146270</v>
      </c>
      <c r="K134" s="3">
        <v>26186</v>
      </c>
      <c r="L134" s="3">
        <v>107973</v>
      </c>
      <c r="M134" s="3">
        <v>11111</v>
      </c>
      <c r="N134" s="3">
        <v>0</v>
      </c>
      <c r="O134" s="3">
        <v>1000</v>
      </c>
      <c r="P134" s="1" t="s">
        <v>663</v>
      </c>
      <c r="Q134" s="3">
        <v>222178</v>
      </c>
      <c r="R134" s="25">
        <f t="shared" si="26"/>
        <v>1.5189580912012033</v>
      </c>
      <c r="S134" s="32">
        <f>J134</f>
        <v>146270</v>
      </c>
      <c r="T134" s="3">
        <f t="shared" si="28"/>
        <v>0</v>
      </c>
      <c r="U134" s="1" t="s">
        <v>3615</v>
      </c>
      <c r="V134" s="16">
        <v>1</v>
      </c>
      <c r="W134" s="28">
        <f t="shared" si="30"/>
        <v>1</v>
      </c>
      <c r="X134" s="27">
        <f t="shared" si="29"/>
        <v>1</v>
      </c>
      <c r="Y134" s="18"/>
      <c r="Z134" s="19"/>
    </row>
    <row r="135" spans="1:26" x14ac:dyDescent="0.35">
      <c r="A135" s="29">
        <v>1</v>
      </c>
      <c r="B135" s="1" t="s">
        <v>3618</v>
      </c>
      <c r="C135" s="1"/>
      <c r="D135" s="1" t="s">
        <v>1069</v>
      </c>
      <c r="E135" s="1" t="s">
        <v>1070</v>
      </c>
      <c r="F135" s="1" t="s">
        <v>1071</v>
      </c>
      <c r="G135" s="5" t="s">
        <v>1072</v>
      </c>
      <c r="H135" s="1" t="s">
        <v>467</v>
      </c>
      <c r="I135" s="2">
        <v>46086</v>
      </c>
      <c r="J135" s="33">
        <f t="shared" si="25"/>
        <v>161505</v>
      </c>
      <c r="K135" s="3">
        <v>12360</v>
      </c>
      <c r="L135" s="3">
        <v>148145</v>
      </c>
      <c r="M135" s="3">
        <v>0</v>
      </c>
      <c r="N135" s="3">
        <v>0</v>
      </c>
      <c r="O135" s="3">
        <v>1000</v>
      </c>
      <c r="P135" s="1" t="s">
        <v>1073</v>
      </c>
      <c r="Q135" s="3">
        <v>1000</v>
      </c>
      <c r="R135" s="25">
        <f t="shared" si="26"/>
        <v>6.1917587690783569E-3</v>
      </c>
      <c r="S135" s="32">
        <f>Q135</f>
        <v>1000</v>
      </c>
      <c r="T135" s="31">
        <f t="shared" si="28"/>
        <v>-160505</v>
      </c>
      <c r="U135" s="1" t="s">
        <v>3616</v>
      </c>
      <c r="V135" s="16"/>
      <c r="W135" s="30">
        <f t="shared" si="30"/>
        <v>0</v>
      </c>
      <c r="X135" s="27">
        <f t="shared" si="29"/>
        <v>6.1917587690783569E-3</v>
      </c>
      <c r="Y135" s="18"/>
      <c r="Z135" s="19"/>
    </row>
    <row r="136" spans="1:26" x14ac:dyDescent="0.35">
      <c r="A136" s="29">
        <v>1</v>
      </c>
      <c r="B136" s="1" t="s">
        <v>3618</v>
      </c>
      <c r="C136" s="1"/>
      <c r="D136" s="1" t="s">
        <v>592</v>
      </c>
      <c r="E136" s="1" t="s">
        <v>593</v>
      </c>
      <c r="F136" s="1" t="s">
        <v>594</v>
      </c>
      <c r="G136" s="5" t="s">
        <v>595</v>
      </c>
      <c r="H136" s="1" t="s">
        <v>467</v>
      </c>
      <c r="I136" s="2">
        <v>46086</v>
      </c>
      <c r="J136" s="33">
        <f t="shared" si="25"/>
        <v>32816</v>
      </c>
      <c r="K136" s="3">
        <v>2420</v>
      </c>
      <c r="L136" s="3">
        <v>29396</v>
      </c>
      <c r="M136" s="3">
        <v>0</v>
      </c>
      <c r="N136" s="3">
        <v>0</v>
      </c>
      <c r="O136" s="3">
        <v>1000</v>
      </c>
      <c r="P136" s="1" t="s">
        <v>596</v>
      </c>
      <c r="Q136" s="3">
        <v>81580</v>
      </c>
      <c r="R136" s="25">
        <f t="shared" si="26"/>
        <v>2.4859824475865433</v>
      </c>
      <c r="S136" s="32">
        <f>J136</f>
        <v>32816</v>
      </c>
      <c r="T136" s="3">
        <f t="shared" si="28"/>
        <v>0</v>
      </c>
      <c r="U136" s="1" t="s">
        <v>3615</v>
      </c>
      <c r="V136" s="16">
        <v>1</v>
      </c>
      <c r="W136" s="28">
        <f t="shared" si="30"/>
        <v>1</v>
      </c>
      <c r="X136" s="27">
        <f t="shared" si="29"/>
        <v>1</v>
      </c>
      <c r="Y136" s="18"/>
      <c r="Z136" s="19"/>
    </row>
    <row r="137" spans="1:26" x14ac:dyDescent="0.35">
      <c r="A137" s="29">
        <v>1</v>
      </c>
      <c r="B137" s="1" t="s">
        <v>3618</v>
      </c>
      <c r="C137" s="1"/>
      <c r="D137" s="1" t="s">
        <v>582</v>
      </c>
      <c r="E137" s="1" t="s">
        <v>583</v>
      </c>
      <c r="F137" s="1" t="s">
        <v>584</v>
      </c>
      <c r="G137" s="5" t="s">
        <v>585</v>
      </c>
      <c r="H137" s="1" t="s">
        <v>467</v>
      </c>
      <c r="I137" s="2">
        <v>46086</v>
      </c>
      <c r="J137" s="33">
        <f t="shared" si="25"/>
        <v>32816</v>
      </c>
      <c r="K137" s="3">
        <v>1837</v>
      </c>
      <c r="L137" s="3">
        <v>29979</v>
      </c>
      <c r="M137" s="3">
        <v>0</v>
      </c>
      <c r="N137" s="3">
        <v>0</v>
      </c>
      <c r="O137" s="3">
        <v>1000</v>
      </c>
      <c r="P137" s="1" t="s">
        <v>586</v>
      </c>
      <c r="Q137" s="3">
        <v>689872</v>
      </c>
      <c r="R137" s="25">
        <f t="shared" si="26"/>
        <v>21.022428083861531</v>
      </c>
      <c r="S137" s="32">
        <f>J137</f>
        <v>32816</v>
      </c>
      <c r="T137" s="3">
        <f t="shared" si="28"/>
        <v>0</v>
      </c>
      <c r="U137" s="1" t="s">
        <v>3615</v>
      </c>
      <c r="V137" s="16">
        <v>1</v>
      </c>
      <c r="W137" s="28">
        <f t="shared" si="30"/>
        <v>1</v>
      </c>
      <c r="X137" s="27">
        <f t="shared" si="29"/>
        <v>1</v>
      </c>
      <c r="Y137" s="18"/>
      <c r="Z137" s="19"/>
    </row>
    <row r="138" spans="1:26" x14ac:dyDescent="0.35">
      <c r="A138" s="29">
        <v>1</v>
      </c>
      <c r="B138" s="1" t="s">
        <v>3618</v>
      </c>
      <c r="C138" s="1"/>
      <c r="D138" s="1" t="s">
        <v>649</v>
      </c>
      <c r="E138" s="1" t="s">
        <v>650</v>
      </c>
      <c r="F138" s="1" t="s">
        <v>651</v>
      </c>
      <c r="G138" s="5" t="s">
        <v>652</v>
      </c>
      <c r="H138" s="1" t="s">
        <v>467</v>
      </c>
      <c r="I138" s="2">
        <v>46086</v>
      </c>
      <c r="J138" s="33">
        <f t="shared" si="25"/>
        <v>35998</v>
      </c>
      <c r="K138" s="3">
        <v>2017</v>
      </c>
      <c r="L138" s="3">
        <v>32981</v>
      </c>
      <c r="M138" s="3">
        <v>0</v>
      </c>
      <c r="N138" s="3">
        <v>0</v>
      </c>
      <c r="O138" s="3">
        <v>1000</v>
      </c>
      <c r="P138" s="1" t="s">
        <v>653</v>
      </c>
      <c r="Q138" s="3">
        <v>8770</v>
      </c>
      <c r="R138" s="25">
        <f t="shared" si="26"/>
        <v>0.24362464581365631</v>
      </c>
      <c r="S138" s="32">
        <f>Q138</f>
        <v>8770</v>
      </c>
      <c r="T138" s="31">
        <f t="shared" si="28"/>
        <v>-27228</v>
      </c>
      <c r="U138" s="1" t="s">
        <v>3616</v>
      </c>
      <c r="V138" s="16"/>
      <c r="W138" s="30">
        <f t="shared" si="30"/>
        <v>0</v>
      </c>
      <c r="X138" s="27">
        <f t="shared" si="29"/>
        <v>0.24362464581365631</v>
      </c>
      <c r="Y138" s="18"/>
      <c r="Z138" s="19"/>
    </row>
    <row r="139" spans="1:26" x14ac:dyDescent="0.35">
      <c r="A139" s="29">
        <v>1</v>
      </c>
      <c r="B139" s="1" t="s">
        <v>3618</v>
      </c>
      <c r="C139" s="1"/>
      <c r="D139" s="1" t="s">
        <v>597</v>
      </c>
      <c r="E139" s="1" t="s">
        <v>598</v>
      </c>
      <c r="F139" s="1" t="s">
        <v>599</v>
      </c>
      <c r="G139" s="5" t="s">
        <v>600</v>
      </c>
      <c r="H139" s="1" t="s">
        <v>467</v>
      </c>
      <c r="I139" s="2">
        <v>46086</v>
      </c>
      <c r="J139" s="33">
        <f t="shared" si="25"/>
        <v>32816</v>
      </c>
      <c r="K139" s="3">
        <v>2420</v>
      </c>
      <c r="L139" s="3">
        <v>29396</v>
      </c>
      <c r="M139" s="3">
        <v>0</v>
      </c>
      <c r="N139" s="3">
        <v>0</v>
      </c>
      <c r="O139" s="3">
        <v>1000</v>
      </c>
      <c r="P139" s="1" t="s">
        <v>601</v>
      </c>
      <c r="Q139" s="3">
        <v>311151</v>
      </c>
      <c r="R139" s="25">
        <f t="shared" si="26"/>
        <v>9.4816857630424192</v>
      </c>
      <c r="S139" s="32">
        <f>J139</f>
        <v>32816</v>
      </c>
      <c r="T139" s="3">
        <f t="shared" si="28"/>
        <v>0</v>
      </c>
      <c r="U139" s="1" t="s">
        <v>3615</v>
      </c>
      <c r="V139" s="16">
        <v>1</v>
      </c>
      <c r="W139" s="28">
        <f t="shared" si="30"/>
        <v>1</v>
      </c>
      <c r="X139" s="27">
        <f t="shared" si="29"/>
        <v>1</v>
      </c>
      <c r="Y139" s="18"/>
      <c r="Z139" s="19"/>
    </row>
    <row r="140" spans="1:26" x14ac:dyDescent="0.35">
      <c r="A140" s="29">
        <v>1</v>
      </c>
      <c r="B140" s="1" t="s">
        <v>3618</v>
      </c>
      <c r="C140" s="1"/>
      <c r="D140" s="1" t="s">
        <v>688</v>
      </c>
      <c r="E140" s="1" t="s">
        <v>689</v>
      </c>
      <c r="F140" s="1" t="s">
        <v>690</v>
      </c>
      <c r="G140" s="5" t="s">
        <v>691</v>
      </c>
      <c r="H140" s="1" t="s">
        <v>17</v>
      </c>
      <c r="I140" s="2">
        <v>46086</v>
      </c>
      <c r="J140" s="33">
        <f t="shared" si="25"/>
        <v>46047</v>
      </c>
      <c r="K140" s="3">
        <v>34521</v>
      </c>
      <c r="L140" s="3">
        <v>0</v>
      </c>
      <c r="M140" s="3">
        <v>10526</v>
      </c>
      <c r="N140" s="3">
        <v>0</v>
      </c>
      <c r="O140" s="3">
        <v>1000</v>
      </c>
      <c r="P140" s="1" t="s">
        <v>692</v>
      </c>
      <c r="Q140" s="3">
        <v>586988</v>
      </c>
      <c r="R140" s="25">
        <f t="shared" si="26"/>
        <v>12.74758399027081</v>
      </c>
      <c r="S140" s="32">
        <f>J140</f>
        <v>46047</v>
      </c>
      <c r="T140" s="3">
        <f t="shared" si="28"/>
        <v>0</v>
      </c>
      <c r="U140" s="1" t="s">
        <v>3615</v>
      </c>
      <c r="V140" s="16">
        <v>1</v>
      </c>
      <c r="W140" s="28">
        <f t="shared" si="30"/>
        <v>1</v>
      </c>
      <c r="X140" s="27">
        <f t="shared" si="29"/>
        <v>1</v>
      </c>
      <c r="Y140" s="18"/>
      <c r="Z140" s="19"/>
    </row>
    <row r="141" spans="1:26" x14ac:dyDescent="0.35">
      <c r="A141" s="29">
        <v>1</v>
      </c>
      <c r="B141" s="1" t="s">
        <v>3618</v>
      </c>
      <c r="C141" s="1"/>
      <c r="D141" s="1" t="s">
        <v>606</v>
      </c>
      <c r="E141" s="1" t="s">
        <v>607</v>
      </c>
      <c r="F141" s="1" t="s">
        <v>608</v>
      </c>
      <c r="G141" s="5" t="s">
        <v>609</v>
      </c>
      <c r="H141" s="1" t="s">
        <v>17</v>
      </c>
      <c r="I141" s="2">
        <v>46086</v>
      </c>
      <c r="J141" s="33">
        <f t="shared" si="25"/>
        <v>350195</v>
      </c>
      <c r="K141" s="3">
        <v>51215</v>
      </c>
      <c r="L141" s="3">
        <v>270202</v>
      </c>
      <c r="M141" s="3">
        <v>27778</v>
      </c>
      <c r="N141" s="3">
        <v>0</v>
      </c>
      <c r="O141" s="3">
        <v>1000</v>
      </c>
      <c r="P141" s="1" t="s">
        <v>610</v>
      </c>
      <c r="Q141" s="3">
        <v>555995</v>
      </c>
      <c r="R141" s="25">
        <f t="shared" si="26"/>
        <v>1.5876725824183668</v>
      </c>
      <c r="S141" s="32">
        <f>J141</f>
        <v>350195</v>
      </c>
      <c r="T141" s="3">
        <f t="shared" si="28"/>
        <v>0</v>
      </c>
      <c r="U141" s="1" t="s">
        <v>3615</v>
      </c>
      <c r="V141" s="16">
        <v>1</v>
      </c>
      <c r="W141" s="28">
        <f t="shared" si="30"/>
        <v>1</v>
      </c>
      <c r="X141" s="27">
        <f t="shared" si="29"/>
        <v>1</v>
      </c>
      <c r="Y141" s="18"/>
      <c r="Z141" s="19"/>
    </row>
    <row r="142" spans="1:26" x14ac:dyDescent="0.35">
      <c r="A142" s="29">
        <v>1</v>
      </c>
      <c r="B142" s="1" t="s">
        <v>3618</v>
      </c>
      <c r="C142" s="1"/>
      <c r="D142" s="1" t="s">
        <v>620</v>
      </c>
      <c r="E142" s="1" t="s">
        <v>621</v>
      </c>
      <c r="F142" s="1" t="s">
        <v>622</v>
      </c>
      <c r="G142" s="5" t="s">
        <v>623</v>
      </c>
      <c r="H142" s="1" t="s">
        <v>624</v>
      </c>
      <c r="I142" s="2">
        <v>46086</v>
      </c>
      <c r="J142" s="33">
        <f t="shared" si="25"/>
        <v>65863</v>
      </c>
      <c r="K142" s="3">
        <v>4960</v>
      </c>
      <c r="L142" s="3">
        <v>54903</v>
      </c>
      <c r="M142" s="3">
        <v>5000</v>
      </c>
      <c r="N142" s="3">
        <v>0</v>
      </c>
      <c r="O142" s="3">
        <v>1000</v>
      </c>
      <c r="P142" s="1" t="s">
        <v>625</v>
      </c>
      <c r="Q142" s="3">
        <v>77705</v>
      </c>
      <c r="R142" s="25">
        <f t="shared" si="26"/>
        <v>1.1797974583605362</v>
      </c>
      <c r="S142" s="32">
        <f>J142</f>
        <v>65863</v>
      </c>
      <c r="T142" s="3">
        <f t="shared" si="28"/>
        <v>0</v>
      </c>
      <c r="U142" s="1" t="s">
        <v>3615</v>
      </c>
      <c r="V142" s="16">
        <v>1</v>
      </c>
      <c r="W142" s="28">
        <f t="shared" si="30"/>
        <v>1</v>
      </c>
      <c r="X142" s="27">
        <f t="shared" si="29"/>
        <v>1</v>
      </c>
      <c r="Y142" s="18"/>
      <c r="Z142" s="19"/>
    </row>
    <row r="143" spans="1:26" x14ac:dyDescent="0.35">
      <c r="A143" s="29">
        <v>1</v>
      </c>
      <c r="B143" s="1" t="s">
        <v>3618</v>
      </c>
      <c r="C143" s="1"/>
      <c r="D143" s="1" t="s">
        <v>630</v>
      </c>
      <c r="E143" s="1" t="s">
        <v>631</v>
      </c>
      <c r="F143" s="1" t="s">
        <v>21</v>
      </c>
      <c r="G143" s="5" t="s">
        <v>632</v>
      </c>
      <c r="H143" s="1" t="s">
        <v>17</v>
      </c>
      <c r="I143" s="2">
        <v>46086</v>
      </c>
      <c r="J143" s="33">
        <f t="shared" si="25"/>
        <v>80879</v>
      </c>
      <c r="K143" s="3">
        <v>10774</v>
      </c>
      <c r="L143" s="3">
        <v>62951</v>
      </c>
      <c r="M143" s="3">
        <v>6154</v>
      </c>
      <c r="N143" s="3">
        <v>0</v>
      </c>
      <c r="O143" s="3">
        <v>1000</v>
      </c>
      <c r="P143" s="1" t="s">
        <v>633</v>
      </c>
      <c r="Q143" s="3">
        <v>15484</v>
      </c>
      <c r="R143" s="25">
        <f t="shared" si="26"/>
        <v>0.19144648178142656</v>
      </c>
      <c r="S143" s="32">
        <f>Q143</f>
        <v>15484</v>
      </c>
      <c r="T143" s="31">
        <f t="shared" si="28"/>
        <v>-65395</v>
      </c>
      <c r="U143" s="1" t="s">
        <v>3616</v>
      </c>
      <c r="V143" s="16"/>
      <c r="W143" s="30">
        <f t="shared" si="30"/>
        <v>0</v>
      </c>
      <c r="X143" s="27">
        <f t="shared" si="29"/>
        <v>0.19144648178142656</v>
      </c>
      <c r="Y143" s="18"/>
      <c r="Z143" s="19"/>
    </row>
    <row r="144" spans="1:26" x14ac:dyDescent="0.35">
      <c r="A144" s="29">
        <v>1</v>
      </c>
      <c r="B144" s="1" t="s">
        <v>3618</v>
      </c>
      <c r="C144" s="1"/>
      <c r="D144" s="1" t="s">
        <v>678</v>
      </c>
      <c r="E144" s="1" t="s">
        <v>679</v>
      </c>
      <c r="F144" s="1" t="s">
        <v>21</v>
      </c>
      <c r="G144" s="5" t="s">
        <v>680</v>
      </c>
      <c r="H144" s="1" t="s">
        <v>681</v>
      </c>
      <c r="I144" s="2">
        <v>46086</v>
      </c>
      <c r="J144" s="33">
        <f t="shared" si="25"/>
        <v>7663</v>
      </c>
      <c r="K144" s="3">
        <v>5350</v>
      </c>
      <c r="L144" s="3">
        <v>0</v>
      </c>
      <c r="M144" s="3">
        <v>1313</v>
      </c>
      <c r="N144" s="3">
        <v>0</v>
      </c>
      <c r="O144" s="3">
        <v>1000</v>
      </c>
      <c r="P144" s="1" t="s">
        <v>682</v>
      </c>
      <c r="Q144" s="3">
        <v>24272</v>
      </c>
      <c r="R144" s="25">
        <f t="shared" si="26"/>
        <v>3.1674279003001438</v>
      </c>
      <c r="S144" s="32">
        <f>J144</f>
        <v>7663</v>
      </c>
      <c r="T144" s="3">
        <f t="shared" si="28"/>
        <v>0</v>
      </c>
      <c r="U144" s="1" t="s">
        <v>3615</v>
      </c>
      <c r="V144" s="16">
        <v>1</v>
      </c>
      <c r="W144" s="28">
        <f t="shared" si="30"/>
        <v>1</v>
      </c>
      <c r="X144" s="27">
        <f t="shared" si="29"/>
        <v>1</v>
      </c>
      <c r="Y144" s="18"/>
      <c r="Z144" s="19"/>
    </row>
    <row r="145" spans="1:26" x14ac:dyDescent="0.35">
      <c r="A145" s="29">
        <v>1</v>
      </c>
      <c r="B145" s="1" t="s">
        <v>3618</v>
      </c>
      <c r="C145" s="1"/>
      <c r="D145" s="1" t="s">
        <v>573</v>
      </c>
      <c r="E145" s="1" t="s">
        <v>574</v>
      </c>
      <c r="F145" s="1" t="s">
        <v>21</v>
      </c>
      <c r="G145" s="5" t="s">
        <v>575</v>
      </c>
      <c r="H145" s="1" t="s">
        <v>17</v>
      </c>
      <c r="I145" s="2">
        <v>46086</v>
      </c>
      <c r="J145" s="33">
        <f t="shared" si="25"/>
        <v>60909</v>
      </c>
      <c r="K145" s="3">
        <v>8080</v>
      </c>
      <c r="L145" s="3">
        <v>47214</v>
      </c>
      <c r="M145" s="3">
        <v>4615</v>
      </c>
      <c r="N145" s="3">
        <v>0</v>
      </c>
      <c r="O145" s="3">
        <v>1000</v>
      </c>
      <c r="P145" s="1" t="s">
        <v>576</v>
      </c>
      <c r="Q145" s="3">
        <v>105790</v>
      </c>
      <c r="R145" s="25">
        <f t="shared" si="26"/>
        <v>1.7368533385870726</v>
      </c>
      <c r="S145" s="32">
        <f>J145</f>
        <v>60909</v>
      </c>
      <c r="T145" s="3">
        <f t="shared" si="28"/>
        <v>0</v>
      </c>
      <c r="U145" s="1" t="s">
        <v>3615</v>
      </c>
      <c r="V145" s="16">
        <v>1</v>
      </c>
      <c r="W145" s="28">
        <f t="shared" si="30"/>
        <v>1</v>
      </c>
      <c r="X145" s="27">
        <f t="shared" si="29"/>
        <v>1</v>
      </c>
      <c r="Y145" s="18"/>
      <c r="Z145" s="19"/>
    </row>
    <row r="146" spans="1:26" x14ac:dyDescent="0.35">
      <c r="A146" s="29">
        <v>1</v>
      </c>
      <c r="B146" s="1" t="s">
        <v>3618</v>
      </c>
      <c r="C146" s="1"/>
      <c r="D146" s="1" t="s">
        <v>556</v>
      </c>
      <c r="E146" s="1" t="s">
        <v>557</v>
      </c>
      <c r="F146" s="1" t="s">
        <v>21</v>
      </c>
      <c r="G146" s="5" t="s">
        <v>558</v>
      </c>
      <c r="H146" s="1" t="s">
        <v>17</v>
      </c>
      <c r="I146" s="2">
        <v>46086</v>
      </c>
      <c r="J146" s="33">
        <f t="shared" si="25"/>
        <v>82194</v>
      </c>
      <c r="K146" s="3">
        <v>9549</v>
      </c>
      <c r="L146" s="3">
        <v>65395</v>
      </c>
      <c r="M146" s="3">
        <v>6250</v>
      </c>
      <c r="N146" s="3">
        <v>0</v>
      </c>
      <c r="O146" s="3">
        <v>1000</v>
      </c>
      <c r="P146" s="1" t="s">
        <v>559</v>
      </c>
      <c r="Q146" s="3">
        <v>290575</v>
      </c>
      <c r="R146" s="25">
        <f t="shared" si="26"/>
        <v>3.5352337153563522</v>
      </c>
      <c r="S146" s="32">
        <f>J146</f>
        <v>82194</v>
      </c>
      <c r="T146" s="3">
        <f t="shared" si="28"/>
        <v>0</v>
      </c>
      <c r="U146" s="1" t="s">
        <v>3615</v>
      </c>
      <c r="V146" s="16">
        <v>1</v>
      </c>
      <c r="W146" s="28">
        <f t="shared" si="30"/>
        <v>1</v>
      </c>
      <c r="X146" s="27">
        <f t="shared" si="29"/>
        <v>1</v>
      </c>
      <c r="Y146" s="18"/>
      <c r="Z146" s="19"/>
    </row>
    <row r="147" spans="1:26" x14ac:dyDescent="0.35">
      <c r="A147" s="29">
        <v>1</v>
      </c>
      <c r="B147" s="1" t="s">
        <v>3618</v>
      </c>
      <c r="C147" s="1"/>
      <c r="D147" s="1" t="s">
        <v>602</v>
      </c>
      <c r="E147" s="1" t="s">
        <v>603</v>
      </c>
      <c r="F147" s="1" t="s">
        <v>21</v>
      </c>
      <c r="G147" s="5" t="s">
        <v>604</v>
      </c>
      <c r="H147" s="1" t="s">
        <v>17</v>
      </c>
      <c r="I147" s="2">
        <v>46086</v>
      </c>
      <c r="J147" s="33">
        <f t="shared" si="25"/>
        <v>218906</v>
      </c>
      <c r="K147" s="3">
        <v>30325</v>
      </c>
      <c r="L147" s="3">
        <v>170914</v>
      </c>
      <c r="M147" s="3">
        <v>16667</v>
      </c>
      <c r="N147" s="3">
        <v>0</v>
      </c>
      <c r="O147" s="3">
        <v>1000</v>
      </c>
      <c r="P147" s="1" t="s">
        <v>605</v>
      </c>
      <c r="Q147" s="3">
        <v>88304</v>
      </c>
      <c r="R147" s="25">
        <f t="shared" si="26"/>
        <v>0.4033877554749527</v>
      </c>
      <c r="S147" s="32">
        <f>Q147</f>
        <v>88304</v>
      </c>
      <c r="T147" s="31">
        <f t="shared" si="28"/>
        <v>-130602</v>
      </c>
      <c r="U147" s="1" t="s">
        <v>3616</v>
      </c>
      <c r="V147" s="16"/>
      <c r="W147" s="30">
        <f t="shared" si="30"/>
        <v>0</v>
      </c>
      <c r="X147" s="27">
        <f t="shared" si="29"/>
        <v>0.4033877554749527</v>
      </c>
      <c r="Y147" s="18"/>
      <c r="Z147" s="19"/>
    </row>
    <row r="148" spans="1:26" x14ac:dyDescent="0.35">
      <c r="A148" s="29">
        <v>1</v>
      </c>
      <c r="B148" s="1" t="s">
        <v>3618</v>
      </c>
      <c r="C148" s="1"/>
      <c r="D148" s="1" t="s">
        <v>674</v>
      </c>
      <c r="E148" s="1" t="s">
        <v>675</v>
      </c>
      <c r="F148" s="1" t="s">
        <v>21</v>
      </c>
      <c r="G148" s="5" t="s">
        <v>676</v>
      </c>
      <c r="H148" s="1" t="s">
        <v>17</v>
      </c>
      <c r="I148" s="2">
        <v>46086</v>
      </c>
      <c r="J148" s="33">
        <f t="shared" si="25"/>
        <v>22526</v>
      </c>
      <c r="K148" s="3">
        <v>2530</v>
      </c>
      <c r="L148" s="3">
        <v>17329</v>
      </c>
      <c r="M148" s="3">
        <v>1667</v>
      </c>
      <c r="N148" s="3">
        <v>0</v>
      </c>
      <c r="O148" s="3">
        <v>1000</v>
      </c>
      <c r="P148" s="1" t="s">
        <v>677</v>
      </c>
      <c r="Q148" s="3">
        <v>19651</v>
      </c>
      <c r="R148" s="25">
        <f t="shared" si="26"/>
        <v>0.87236970611737552</v>
      </c>
      <c r="S148" s="32">
        <f>Q148</f>
        <v>19651</v>
      </c>
      <c r="T148" s="31">
        <f t="shared" si="28"/>
        <v>-2875</v>
      </c>
      <c r="U148" s="1" t="s">
        <v>3616</v>
      </c>
      <c r="V148" s="16"/>
      <c r="W148" s="30">
        <f t="shared" si="30"/>
        <v>0</v>
      </c>
      <c r="X148" s="27">
        <f t="shared" si="29"/>
        <v>0.87236970611737552</v>
      </c>
      <c r="Y148" s="18"/>
      <c r="Z148" s="19"/>
    </row>
    <row r="149" spans="1:26" x14ac:dyDescent="0.35">
      <c r="A149" s="29">
        <v>1</v>
      </c>
      <c r="B149" s="1" t="s">
        <v>3618</v>
      </c>
      <c r="C149" s="1"/>
      <c r="D149" s="1" t="s">
        <v>560</v>
      </c>
      <c r="E149" s="1" t="s">
        <v>561</v>
      </c>
      <c r="F149" s="1" t="s">
        <v>21</v>
      </c>
      <c r="G149" s="5" t="s">
        <v>562</v>
      </c>
      <c r="H149" s="1" t="s">
        <v>563</v>
      </c>
      <c r="I149" s="2">
        <v>46086</v>
      </c>
      <c r="J149" s="33">
        <f t="shared" si="25"/>
        <v>81886</v>
      </c>
      <c r="K149" s="3">
        <v>16994</v>
      </c>
      <c r="L149" s="3">
        <v>57892</v>
      </c>
      <c r="M149" s="3">
        <v>6000</v>
      </c>
      <c r="N149" s="3">
        <v>0</v>
      </c>
      <c r="O149" s="3">
        <v>1000</v>
      </c>
      <c r="P149" s="1" t="s">
        <v>564</v>
      </c>
      <c r="Q149" s="3">
        <v>227762</v>
      </c>
      <c r="R149" s="25">
        <f t="shared" si="26"/>
        <v>2.7814522629020835</v>
      </c>
      <c r="S149" s="32">
        <f>J149</f>
        <v>81886</v>
      </c>
      <c r="T149" s="3">
        <f t="shared" si="28"/>
        <v>0</v>
      </c>
      <c r="U149" s="1" t="s">
        <v>3615</v>
      </c>
      <c r="V149" s="16">
        <v>1</v>
      </c>
      <c r="W149" s="28">
        <f t="shared" si="30"/>
        <v>1</v>
      </c>
      <c r="X149" s="27">
        <f t="shared" si="29"/>
        <v>1</v>
      </c>
      <c r="Y149" s="18"/>
      <c r="Z149" s="19"/>
    </row>
    <row r="150" spans="1:26" x14ac:dyDescent="0.35">
      <c r="A150" s="29">
        <v>1</v>
      </c>
      <c r="B150" s="1" t="s">
        <v>3618</v>
      </c>
      <c r="C150" s="1"/>
      <c r="D150" s="1" t="s">
        <v>626</v>
      </c>
      <c r="E150" s="1" t="s">
        <v>627</v>
      </c>
      <c r="F150" s="1" t="s">
        <v>21</v>
      </c>
      <c r="G150" s="5" t="s">
        <v>628</v>
      </c>
      <c r="H150" s="1" t="s">
        <v>17</v>
      </c>
      <c r="I150" s="2">
        <v>46086</v>
      </c>
      <c r="J150" s="33">
        <f t="shared" si="25"/>
        <v>33288</v>
      </c>
      <c r="K150" s="3">
        <v>2345</v>
      </c>
      <c r="L150" s="3">
        <v>27443</v>
      </c>
      <c r="M150" s="3">
        <v>2500</v>
      </c>
      <c r="N150" s="3">
        <v>0</v>
      </c>
      <c r="O150" s="3">
        <v>1000</v>
      </c>
      <c r="P150" s="1" t="s">
        <v>629</v>
      </c>
      <c r="Q150" s="3">
        <v>1000</v>
      </c>
      <c r="R150" s="25">
        <f t="shared" si="26"/>
        <v>3.0040855563566449E-2</v>
      </c>
      <c r="S150" s="32">
        <f>Q150</f>
        <v>1000</v>
      </c>
      <c r="T150" s="31">
        <f t="shared" si="28"/>
        <v>-32288</v>
      </c>
      <c r="U150" s="1" t="s">
        <v>3616</v>
      </c>
      <c r="V150" s="16"/>
      <c r="W150" s="30">
        <f t="shared" si="30"/>
        <v>0</v>
      </c>
      <c r="X150" s="27">
        <f t="shared" si="29"/>
        <v>3.0040855563566449E-2</v>
      </c>
      <c r="Y150" s="18"/>
      <c r="Z150" s="19"/>
    </row>
    <row r="151" spans="1:26" x14ac:dyDescent="0.35">
      <c r="A151" s="29">
        <v>1</v>
      </c>
      <c r="B151" s="1" t="s">
        <v>3618</v>
      </c>
      <c r="C151" s="1"/>
      <c r="D151" s="1" t="s">
        <v>565</v>
      </c>
      <c r="E151" s="1" t="s">
        <v>566</v>
      </c>
      <c r="F151" s="1" t="s">
        <v>21</v>
      </c>
      <c r="G151" s="5" t="s">
        <v>567</v>
      </c>
      <c r="H151" s="1" t="s">
        <v>17</v>
      </c>
      <c r="I151" s="2">
        <v>46086</v>
      </c>
      <c r="J151" s="33">
        <f t="shared" si="25"/>
        <v>50686</v>
      </c>
      <c r="K151" s="3">
        <v>4179</v>
      </c>
      <c r="L151" s="3">
        <v>41661</v>
      </c>
      <c r="M151" s="3">
        <v>3846</v>
      </c>
      <c r="N151" s="3">
        <v>0</v>
      </c>
      <c r="O151" s="3">
        <v>1000</v>
      </c>
      <c r="P151" s="1" t="s">
        <v>568</v>
      </c>
      <c r="Q151" s="3">
        <v>60121</v>
      </c>
      <c r="R151" s="25">
        <f t="shared" si="26"/>
        <v>1.1861460758394824</v>
      </c>
      <c r="S151" s="32">
        <f>J151</f>
        <v>50686</v>
      </c>
      <c r="T151" s="3">
        <f t="shared" si="28"/>
        <v>0</v>
      </c>
      <c r="U151" s="1" t="s">
        <v>3615</v>
      </c>
      <c r="V151" s="16">
        <v>1</v>
      </c>
      <c r="W151" s="28">
        <f t="shared" si="30"/>
        <v>1</v>
      </c>
      <c r="X151" s="27">
        <f t="shared" si="29"/>
        <v>1</v>
      </c>
      <c r="Y151" s="18"/>
      <c r="Z151" s="19"/>
    </row>
    <row r="152" spans="1:26" x14ac:dyDescent="0.35">
      <c r="A152" s="29">
        <v>1</v>
      </c>
      <c r="B152" s="1" t="s">
        <v>3618</v>
      </c>
      <c r="C152" s="1"/>
      <c r="D152" s="1" t="s">
        <v>616</v>
      </c>
      <c r="E152" s="1" t="s">
        <v>617</v>
      </c>
      <c r="F152" s="1" t="s">
        <v>21</v>
      </c>
      <c r="G152" s="5" t="s">
        <v>618</v>
      </c>
      <c r="H152" s="1" t="s">
        <v>17</v>
      </c>
      <c r="I152" s="2">
        <v>46086</v>
      </c>
      <c r="J152" s="33">
        <f t="shared" si="25"/>
        <v>147224</v>
      </c>
      <c r="K152" s="3">
        <v>21381</v>
      </c>
      <c r="L152" s="3">
        <v>113732</v>
      </c>
      <c r="M152" s="3">
        <v>11111</v>
      </c>
      <c r="N152" s="3">
        <v>0</v>
      </c>
      <c r="O152" s="3">
        <v>1000</v>
      </c>
      <c r="P152" s="1" t="s">
        <v>619</v>
      </c>
      <c r="Q152" s="3">
        <v>416566</v>
      </c>
      <c r="R152" s="25">
        <f t="shared" si="26"/>
        <v>2.8294707384665543</v>
      </c>
      <c r="S152" s="32">
        <f>J152</f>
        <v>147224</v>
      </c>
      <c r="T152" s="3">
        <f t="shared" si="28"/>
        <v>0</v>
      </c>
      <c r="U152" s="1" t="s">
        <v>3615</v>
      </c>
      <c r="V152" s="16">
        <v>1</v>
      </c>
      <c r="W152" s="28">
        <f t="shared" si="30"/>
        <v>1</v>
      </c>
      <c r="X152" s="27">
        <f t="shared" si="29"/>
        <v>1</v>
      </c>
      <c r="Y152" s="18"/>
      <c r="Z152" s="19"/>
    </row>
    <row r="153" spans="1:26" x14ac:dyDescent="0.35">
      <c r="A153" s="29">
        <v>1</v>
      </c>
      <c r="B153" s="1" t="s">
        <v>3618</v>
      </c>
      <c r="C153" s="1"/>
      <c r="D153" s="1" t="s">
        <v>569</v>
      </c>
      <c r="E153" s="1" t="s">
        <v>570</v>
      </c>
      <c r="F153" s="1" t="s">
        <v>21</v>
      </c>
      <c r="G153" s="5" t="s">
        <v>571</v>
      </c>
      <c r="H153" s="1" t="s">
        <v>17</v>
      </c>
      <c r="I153" s="2">
        <v>46086</v>
      </c>
      <c r="J153" s="33">
        <f t="shared" si="25"/>
        <v>50686</v>
      </c>
      <c r="K153" s="3">
        <v>6377</v>
      </c>
      <c r="L153" s="3">
        <v>39463</v>
      </c>
      <c r="M153" s="3">
        <v>3846</v>
      </c>
      <c r="N153" s="3">
        <v>0</v>
      </c>
      <c r="O153" s="3">
        <v>1000</v>
      </c>
      <c r="P153" s="1" t="s">
        <v>572</v>
      </c>
      <c r="Q153" s="3">
        <v>64078</v>
      </c>
      <c r="R153" s="25">
        <f t="shared" si="26"/>
        <v>1.2642149706033223</v>
      </c>
      <c r="S153" s="32">
        <f>J153</f>
        <v>50686</v>
      </c>
      <c r="T153" s="3">
        <f t="shared" si="28"/>
        <v>0</v>
      </c>
      <c r="U153" s="1" t="s">
        <v>3615</v>
      </c>
      <c r="V153" s="16">
        <v>1</v>
      </c>
      <c r="W153" s="28">
        <f t="shared" si="30"/>
        <v>1</v>
      </c>
      <c r="X153" s="27">
        <f t="shared" si="29"/>
        <v>1</v>
      </c>
      <c r="Y153" s="18"/>
      <c r="Z153" s="19"/>
    </row>
    <row r="154" spans="1:26" s="40" customFormat="1" ht="15" thickBot="1" x14ac:dyDescent="0.4">
      <c r="A154" s="34">
        <f>SUM(A123:A153)</f>
        <v>31</v>
      </c>
      <c r="B154" s="73" t="s">
        <v>3634</v>
      </c>
      <c r="C154" s="73"/>
      <c r="D154" s="73"/>
      <c r="E154" s="73"/>
      <c r="F154" s="73"/>
      <c r="G154" s="73"/>
      <c r="H154" s="73"/>
      <c r="I154" s="73"/>
      <c r="J154" s="35">
        <f>SUM(J123:J153)</f>
        <v>3415814</v>
      </c>
      <c r="K154" s="36">
        <f t="shared" ref="K154:V154" si="31">SUM(K123:K153)</f>
        <v>569414</v>
      </c>
      <c r="L154" s="36">
        <f t="shared" si="31"/>
        <v>2557346</v>
      </c>
      <c r="M154" s="36">
        <f t="shared" si="31"/>
        <v>258054</v>
      </c>
      <c r="N154" s="36">
        <f t="shared" si="31"/>
        <v>0</v>
      </c>
      <c r="O154" s="36">
        <f t="shared" si="31"/>
        <v>31000</v>
      </c>
      <c r="P154" s="36">
        <f t="shared" si="31"/>
        <v>0</v>
      </c>
      <c r="Q154" s="36">
        <f t="shared" si="31"/>
        <v>7781622</v>
      </c>
      <c r="R154" s="35"/>
      <c r="S154" s="45">
        <f t="shared" si="31"/>
        <v>2956359</v>
      </c>
      <c r="T154" s="37">
        <f t="shared" si="31"/>
        <v>-459455</v>
      </c>
      <c r="U154" s="35">
        <f t="shared" si="31"/>
        <v>0</v>
      </c>
      <c r="V154" s="35">
        <f t="shared" si="31"/>
        <v>24</v>
      </c>
      <c r="W154" s="38">
        <f t="shared" si="30"/>
        <v>0.77419354838709675</v>
      </c>
      <c r="X154" s="39">
        <f t="shared" ref="X154" si="32">S154/J154</f>
        <v>0.8654917978555039</v>
      </c>
    </row>
    <row r="155" spans="1:26" x14ac:dyDescent="0.35">
      <c r="A155" s="29">
        <v>1</v>
      </c>
      <c r="B155" s="1" t="s">
        <v>3619</v>
      </c>
      <c r="C155" s="1"/>
      <c r="D155" s="1" t="s">
        <v>951</v>
      </c>
      <c r="E155" s="1" t="s">
        <v>952</v>
      </c>
      <c r="F155" s="1" t="s">
        <v>953</v>
      </c>
      <c r="G155" s="5" t="s">
        <v>954</v>
      </c>
      <c r="H155" s="1" t="s">
        <v>17</v>
      </c>
      <c r="I155" s="2">
        <v>46086</v>
      </c>
      <c r="J155" s="33">
        <f t="shared" ref="J155:J186" si="33">SUM(K155:O155)</f>
        <v>251033</v>
      </c>
      <c r="K155" s="3">
        <v>12202</v>
      </c>
      <c r="L155" s="3">
        <v>216998</v>
      </c>
      <c r="M155" s="3">
        <v>20833</v>
      </c>
      <c r="N155" s="3">
        <v>0</v>
      </c>
      <c r="O155" s="3">
        <v>1000</v>
      </c>
      <c r="P155" s="1" t="s">
        <v>955</v>
      </c>
      <c r="Q155" s="3">
        <v>0</v>
      </c>
      <c r="R155" s="25">
        <f t="shared" ref="R155:R186" si="34">Q155/J155</f>
        <v>0</v>
      </c>
      <c r="S155" s="32">
        <f>Q155</f>
        <v>0</v>
      </c>
      <c r="T155" s="31">
        <f t="shared" ref="T155:T186" si="35">S155-J155</f>
        <v>-251033</v>
      </c>
      <c r="U155" s="1" t="s">
        <v>3616</v>
      </c>
      <c r="V155" s="16"/>
      <c r="W155" s="30">
        <f t="shared" si="30"/>
        <v>0</v>
      </c>
      <c r="X155" s="27">
        <f t="shared" ref="X155:X186" si="36">S155/J155</f>
        <v>0</v>
      </c>
      <c r="Y155" s="18"/>
      <c r="Z155" s="19"/>
    </row>
    <row r="156" spans="1:26" x14ac:dyDescent="0.35">
      <c r="A156" s="29">
        <v>1</v>
      </c>
      <c r="B156" s="1" t="s">
        <v>3619</v>
      </c>
      <c r="C156" s="1"/>
      <c r="D156" s="1" t="s">
        <v>1020</v>
      </c>
      <c r="E156" s="1" t="s">
        <v>1021</v>
      </c>
      <c r="F156" s="1" t="s">
        <v>1022</v>
      </c>
      <c r="G156" s="5" t="s">
        <v>1023</v>
      </c>
      <c r="H156" s="1" t="s">
        <v>17</v>
      </c>
      <c r="I156" s="2">
        <v>46086</v>
      </c>
      <c r="J156" s="33">
        <f t="shared" si="33"/>
        <v>1082815</v>
      </c>
      <c r="K156" s="3">
        <v>184239</v>
      </c>
      <c r="L156" s="3">
        <v>814243</v>
      </c>
      <c r="M156" s="3">
        <v>83333</v>
      </c>
      <c r="N156" s="3">
        <v>0</v>
      </c>
      <c r="O156" s="3">
        <v>1000</v>
      </c>
      <c r="P156" s="1" t="s">
        <v>1024</v>
      </c>
      <c r="Q156" s="3">
        <v>1016000</v>
      </c>
      <c r="R156" s="25">
        <f t="shared" si="34"/>
        <v>0.93829509195938365</v>
      </c>
      <c r="S156" s="32">
        <f>Q156</f>
        <v>1016000</v>
      </c>
      <c r="T156" s="31">
        <f t="shared" si="35"/>
        <v>-66815</v>
      </c>
      <c r="U156" s="1" t="s">
        <v>3616</v>
      </c>
      <c r="V156" s="16"/>
      <c r="W156" s="30">
        <f t="shared" si="30"/>
        <v>0</v>
      </c>
      <c r="X156" s="27">
        <f t="shared" si="36"/>
        <v>0.93829509195938365</v>
      </c>
      <c r="Y156" s="18"/>
      <c r="Z156" s="19"/>
    </row>
    <row r="157" spans="1:26" x14ac:dyDescent="0.35">
      <c r="A157" s="29">
        <v>1</v>
      </c>
      <c r="B157" s="1" t="s">
        <v>3619</v>
      </c>
      <c r="C157" s="1"/>
      <c r="D157" s="1" t="s">
        <v>698</v>
      </c>
      <c r="E157" s="1" t="s">
        <v>699</v>
      </c>
      <c r="F157" s="1" t="s">
        <v>700</v>
      </c>
      <c r="G157" s="5" t="s">
        <v>701</v>
      </c>
      <c r="H157" s="1" t="s">
        <v>702</v>
      </c>
      <c r="I157" s="2">
        <v>46086</v>
      </c>
      <c r="J157" s="33">
        <f t="shared" si="33"/>
        <v>109333</v>
      </c>
      <c r="K157" s="3">
        <v>25000</v>
      </c>
      <c r="L157" s="3">
        <v>83333</v>
      </c>
      <c r="M157" s="3">
        <v>0</v>
      </c>
      <c r="N157" s="3">
        <v>0</v>
      </c>
      <c r="O157" s="3">
        <v>1000</v>
      </c>
      <c r="P157" s="1" t="s">
        <v>698</v>
      </c>
      <c r="Q157" s="3">
        <v>207048</v>
      </c>
      <c r="R157" s="25">
        <f t="shared" si="34"/>
        <v>1.893737480906954</v>
      </c>
      <c r="S157" s="32">
        <f>J157</f>
        <v>109333</v>
      </c>
      <c r="T157" s="3">
        <f t="shared" si="35"/>
        <v>0</v>
      </c>
      <c r="U157" s="1" t="s">
        <v>3615</v>
      </c>
      <c r="V157" s="16">
        <v>1</v>
      </c>
      <c r="W157" s="28">
        <f t="shared" si="30"/>
        <v>1</v>
      </c>
      <c r="X157" s="27">
        <f t="shared" si="36"/>
        <v>1</v>
      </c>
      <c r="Y157" s="18"/>
      <c r="Z157" s="19"/>
    </row>
    <row r="158" spans="1:26" x14ac:dyDescent="0.35">
      <c r="A158" s="29">
        <v>1</v>
      </c>
      <c r="B158" s="1" t="s">
        <v>3619</v>
      </c>
      <c r="C158" s="1"/>
      <c r="D158" s="1" t="s">
        <v>1112</v>
      </c>
      <c r="E158" s="1" t="s">
        <v>1113</v>
      </c>
      <c r="F158" s="1" t="s">
        <v>1114</v>
      </c>
      <c r="G158" s="5" t="s">
        <v>1115</v>
      </c>
      <c r="H158" s="1" t="s">
        <v>17</v>
      </c>
      <c r="I158" s="2">
        <v>46086</v>
      </c>
      <c r="J158" s="33">
        <f t="shared" si="33"/>
        <v>70362</v>
      </c>
      <c r="K158" s="3">
        <v>12513</v>
      </c>
      <c r="L158" s="3">
        <v>51293</v>
      </c>
      <c r="M158" s="3">
        <v>5556</v>
      </c>
      <c r="N158" s="3">
        <v>0</v>
      </c>
      <c r="O158" s="3">
        <v>1000</v>
      </c>
      <c r="P158" s="1" t="s">
        <v>1116</v>
      </c>
      <c r="Q158" s="3">
        <v>370994</v>
      </c>
      <c r="R158" s="25">
        <f t="shared" si="34"/>
        <v>5.2726471675051876</v>
      </c>
      <c r="S158" s="32">
        <f>J158</f>
        <v>70362</v>
      </c>
      <c r="T158" s="3">
        <f t="shared" si="35"/>
        <v>0</v>
      </c>
      <c r="U158" s="1" t="s">
        <v>3615</v>
      </c>
      <c r="V158" s="16">
        <v>1</v>
      </c>
      <c r="W158" s="28">
        <f t="shared" si="30"/>
        <v>1</v>
      </c>
      <c r="X158" s="27">
        <f t="shared" si="36"/>
        <v>1</v>
      </c>
      <c r="Y158" s="18"/>
      <c r="Z158" s="19"/>
    </row>
    <row r="159" spans="1:26" x14ac:dyDescent="0.35">
      <c r="A159" s="29">
        <v>1</v>
      </c>
      <c r="B159" s="1" t="s">
        <v>3619</v>
      </c>
      <c r="C159" s="1"/>
      <c r="D159" s="1" t="s">
        <v>772</v>
      </c>
      <c r="E159" s="1" t="s">
        <v>773</v>
      </c>
      <c r="F159" s="1" t="s">
        <v>774</v>
      </c>
      <c r="G159" s="5" t="s">
        <v>775</v>
      </c>
      <c r="H159" s="1" t="s">
        <v>17</v>
      </c>
      <c r="I159" s="2">
        <v>46086</v>
      </c>
      <c r="J159" s="33">
        <f t="shared" si="33"/>
        <v>81011</v>
      </c>
      <c r="K159" s="3">
        <v>6825</v>
      </c>
      <c r="L159" s="3">
        <v>66519</v>
      </c>
      <c r="M159" s="3">
        <v>6667</v>
      </c>
      <c r="N159" s="3">
        <v>0</v>
      </c>
      <c r="O159" s="3">
        <v>1000</v>
      </c>
      <c r="P159" s="1" t="s">
        <v>776</v>
      </c>
      <c r="Q159" s="3">
        <v>97826</v>
      </c>
      <c r="R159" s="25">
        <f t="shared" si="34"/>
        <v>1.2075644048339114</v>
      </c>
      <c r="S159" s="32">
        <f>J159</f>
        <v>81011</v>
      </c>
      <c r="T159" s="3">
        <f t="shared" si="35"/>
        <v>0</v>
      </c>
      <c r="U159" s="1" t="s">
        <v>3615</v>
      </c>
      <c r="V159" s="16">
        <v>1</v>
      </c>
      <c r="W159" s="28">
        <f t="shared" si="30"/>
        <v>1</v>
      </c>
      <c r="X159" s="27">
        <f t="shared" si="36"/>
        <v>1</v>
      </c>
      <c r="Y159" s="18"/>
      <c r="Z159" s="19"/>
    </row>
    <row r="160" spans="1:26" x14ac:dyDescent="0.35">
      <c r="A160" s="29">
        <v>1</v>
      </c>
      <c r="B160" s="1" t="s">
        <v>3619</v>
      </c>
      <c r="C160" s="1"/>
      <c r="D160" s="1" t="s">
        <v>932</v>
      </c>
      <c r="E160" s="1" t="s">
        <v>933</v>
      </c>
      <c r="F160" s="1" t="s">
        <v>934</v>
      </c>
      <c r="G160" s="5" t="s">
        <v>935</v>
      </c>
      <c r="H160" s="1" t="s">
        <v>17</v>
      </c>
      <c r="I160" s="2">
        <v>46086</v>
      </c>
      <c r="J160" s="33">
        <f t="shared" si="33"/>
        <v>105042</v>
      </c>
      <c r="K160" s="3">
        <v>18729</v>
      </c>
      <c r="L160" s="3">
        <v>76980</v>
      </c>
      <c r="M160" s="3">
        <v>8333</v>
      </c>
      <c r="N160" s="3">
        <v>0</v>
      </c>
      <c r="O160" s="3">
        <v>1000</v>
      </c>
      <c r="P160" s="1" t="s">
        <v>936</v>
      </c>
      <c r="Q160" s="3">
        <v>326739</v>
      </c>
      <c r="R160" s="25">
        <f t="shared" si="34"/>
        <v>3.1105557776889246</v>
      </c>
      <c r="S160" s="32">
        <f>J160</f>
        <v>105042</v>
      </c>
      <c r="T160" s="3">
        <f t="shared" si="35"/>
        <v>0</v>
      </c>
      <c r="U160" s="1" t="s">
        <v>3615</v>
      </c>
      <c r="V160" s="16">
        <v>1</v>
      </c>
      <c r="W160" s="28">
        <f t="shared" si="30"/>
        <v>1</v>
      </c>
      <c r="X160" s="27">
        <f t="shared" si="36"/>
        <v>1</v>
      </c>
      <c r="Y160" s="18"/>
      <c r="Z160" s="19"/>
    </row>
    <row r="161" spans="1:26" x14ac:dyDescent="0.35">
      <c r="A161" s="29">
        <v>1</v>
      </c>
      <c r="B161" s="1" t="s">
        <v>3619</v>
      </c>
      <c r="C161" s="1"/>
      <c r="D161" s="1" t="s">
        <v>1129</v>
      </c>
      <c r="E161" s="1" t="s">
        <v>1130</v>
      </c>
      <c r="F161" s="1" t="s">
        <v>1131</v>
      </c>
      <c r="G161" s="5" t="s">
        <v>1132</v>
      </c>
      <c r="H161" s="1" t="s">
        <v>467</v>
      </c>
      <c r="I161" s="2">
        <v>46086</v>
      </c>
      <c r="J161" s="33">
        <f t="shared" si="33"/>
        <v>54027</v>
      </c>
      <c r="K161" s="3">
        <v>4543</v>
      </c>
      <c r="L161" s="3">
        <v>48484</v>
      </c>
      <c r="M161" s="3">
        <v>0</v>
      </c>
      <c r="N161" s="3">
        <v>0</v>
      </c>
      <c r="O161" s="3">
        <v>1000</v>
      </c>
      <c r="P161" s="1" t="s">
        <v>1133</v>
      </c>
      <c r="Q161" s="3">
        <v>84</v>
      </c>
      <c r="R161" s="25">
        <f t="shared" si="34"/>
        <v>1.5547781664723194E-3</v>
      </c>
      <c r="S161" s="32">
        <f>Q161</f>
        <v>84</v>
      </c>
      <c r="T161" s="31">
        <f t="shared" si="35"/>
        <v>-53943</v>
      </c>
      <c r="U161" s="1" t="s">
        <v>3616</v>
      </c>
      <c r="V161" s="16"/>
      <c r="W161" s="30">
        <f t="shared" si="30"/>
        <v>0</v>
      </c>
      <c r="X161" s="27">
        <f t="shared" si="36"/>
        <v>1.5547781664723194E-3</v>
      </c>
      <c r="Y161" s="18"/>
      <c r="Z161" s="19"/>
    </row>
    <row r="162" spans="1:26" x14ac:dyDescent="0.35">
      <c r="A162" s="29">
        <v>1</v>
      </c>
      <c r="B162" s="1" t="s">
        <v>3619</v>
      </c>
      <c r="C162" s="1"/>
      <c r="D162" s="1" t="s">
        <v>1326</v>
      </c>
      <c r="E162" s="1" t="s">
        <v>1327</v>
      </c>
      <c r="F162" s="1" t="s">
        <v>1328</v>
      </c>
      <c r="G162" s="5" t="s">
        <v>1329</v>
      </c>
      <c r="H162" s="1" t="s">
        <v>17</v>
      </c>
      <c r="I162" s="2">
        <v>46086</v>
      </c>
      <c r="J162" s="33">
        <f t="shared" si="33"/>
        <v>101013</v>
      </c>
      <c r="K162" s="3">
        <v>8481</v>
      </c>
      <c r="L162" s="3">
        <v>83199</v>
      </c>
      <c r="M162" s="3">
        <v>8333</v>
      </c>
      <c r="N162" s="3">
        <v>0</v>
      </c>
      <c r="O162" s="3">
        <v>1000</v>
      </c>
      <c r="P162" s="1" t="s">
        <v>1330</v>
      </c>
      <c r="Q162" s="3">
        <v>186333</v>
      </c>
      <c r="R162" s="25">
        <f t="shared" si="34"/>
        <v>1.8446437587241247</v>
      </c>
      <c r="S162" s="32">
        <f>J162</f>
        <v>101013</v>
      </c>
      <c r="T162" s="3">
        <f t="shared" si="35"/>
        <v>0</v>
      </c>
      <c r="U162" s="1" t="s">
        <v>3615</v>
      </c>
      <c r="V162" s="16">
        <v>1</v>
      </c>
      <c r="W162" s="28">
        <f t="shared" si="30"/>
        <v>1</v>
      </c>
      <c r="X162" s="27">
        <f t="shared" si="36"/>
        <v>1</v>
      </c>
      <c r="Y162" s="18"/>
      <c r="Z162" s="19"/>
    </row>
    <row r="163" spans="1:26" x14ac:dyDescent="0.35">
      <c r="A163" s="29">
        <v>1</v>
      </c>
      <c r="B163" s="1" t="s">
        <v>3619</v>
      </c>
      <c r="C163" s="1"/>
      <c r="D163" s="1" t="s">
        <v>1158</v>
      </c>
      <c r="E163" s="1" t="s">
        <v>1159</v>
      </c>
      <c r="F163" s="1" t="s">
        <v>1160</v>
      </c>
      <c r="G163" s="5" t="s">
        <v>1161</v>
      </c>
      <c r="H163" s="1" t="s">
        <v>17</v>
      </c>
      <c r="I163" s="2">
        <v>46086</v>
      </c>
      <c r="J163" s="33">
        <f t="shared" si="33"/>
        <v>151020</v>
      </c>
      <c r="K163" s="3">
        <v>37726</v>
      </c>
      <c r="L163" s="3">
        <v>99794</v>
      </c>
      <c r="M163" s="3">
        <v>12500</v>
      </c>
      <c r="N163" s="3">
        <v>0</v>
      </c>
      <c r="O163" s="3">
        <v>1000</v>
      </c>
      <c r="P163" s="1" t="s">
        <v>1162</v>
      </c>
      <c r="Q163" s="3">
        <v>192691</v>
      </c>
      <c r="R163" s="25">
        <f t="shared" si="34"/>
        <v>1.2759303403522713</v>
      </c>
      <c r="S163" s="32">
        <f>J163</f>
        <v>151020</v>
      </c>
      <c r="T163" s="3">
        <f t="shared" si="35"/>
        <v>0</v>
      </c>
      <c r="U163" s="1" t="s">
        <v>3615</v>
      </c>
      <c r="V163" s="16">
        <v>1</v>
      </c>
      <c r="W163" s="28">
        <f t="shared" si="30"/>
        <v>1</v>
      </c>
      <c r="X163" s="27">
        <f t="shared" si="36"/>
        <v>1</v>
      </c>
      <c r="Y163" s="18"/>
      <c r="Z163" s="19"/>
    </row>
    <row r="164" spans="1:26" x14ac:dyDescent="0.35">
      <c r="A164" s="29">
        <v>1</v>
      </c>
      <c r="B164" s="1" t="s">
        <v>3619</v>
      </c>
      <c r="C164" s="1"/>
      <c r="D164" s="1" t="s">
        <v>1084</v>
      </c>
      <c r="E164" s="1" t="s">
        <v>1085</v>
      </c>
      <c r="F164" s="1" t="s">
        <v>1086</v>
      </c>
      <c r="G164" s="5" t="s">
        <v>1087</v>
      </c>
      <c r="H164" s="1" t="s">
        <v>32</v>
      </c>
      <c r="I164" s="2">
        <v>46086</v>
      </c>
      <c r="J164" s="33">
        <f t="shared" si="33"/>
        <v>278445</v>
      </c>
      <c r="K164" s="3">
        <v>47042</v>
      </c>
      <c r="L164" s="3">
        <v>208181</v>
      </c>
      <c r="M164" s="3">
        <v>22222</v>
      </c>
      <c r="N164" s="3">
        <v>0</v>
      </c>
      <c r="O164" s="3">
        <v>1000</v>
      </c>
      <c r="P164" s="1" t="s">
        <v>1088</v>
      </c>
      <c r="Q164" s="3">
        <v>105488</v>
      </c>
      <c r="R164" s="25">
        <f t="shared" si="34"/>
        <v>0.37884680996247017</v>
      </c>
      <c r="S164" s="32">
        <f>Q164</f>
        <v>105488</v>
      </c>
      <c r="T164" s="31">
        <f t="shared" si="35"/>
        <v>-172957</v>
      </c>
      <c r="U164" s="1" t="s">
        <v>3616</v>
      </c>
      <c r="V164" s="16"/>
      <c r="W164" s="30">
        <f t="shared" si="30"/>
        <v>0</v>
      </c>
      <c r="X164" s="27">
        <f t="shared" si="36"/>
        <v>0.37884680996247017</v>
      </c>
      <c r="Y164" s="18"/>
      <c r="Z164" s="19"/>
    </row>
    <row r="165" spans="1:26" x14ac:dyDescent="0.35">
      <c r="A165" s="29">
        <v>1</v>
      </c>
      <c r="B165" s="1" t="s">
        <v>3619</v>
      </c>
      <c r="C165" s="1"/>
      <c r="D165" s="1" t="s">
        <v>1163</v>
      </c>
      <c r="E165" s="1" t="s">
        <v>1164</v>
      </c>
      <c r="F165" s="1" t="s">
        <v>1165</v>
      </c>
      <c r="G165" s="5" t="s">
        <v>1166</v>
      </c>
      <c r="H165" s="1" t="s">
        <v>17</v>
      </c>
      <c r="I165" s="2">
        <v>46086</v>
      </c>
      <c r="J165" s="33">
        <f t="shared" si="33"/>
        <v>51007</v>
      </c>
      <c r="K165" s="3">
        <v>7397</v>
      </c>
      <c r="L165" s="3">
        <v>38443</v>
      </c>
      <c r="M165" s="3">
        <v>4167</v>
      </c>
      <c r="N165" s="3">
        <v>0</v>
      </c>
      <c r="O165" s="3">
        <v>1000</v>
      </c>
      <c r="P165" s="1" t="s">
        <v>1167</v>
      </c>
      <c r="Q165" s="3">
        <v>7184</v>
      </c>
      <c r="R165" s="25">
        <f t="shared" si="34"/>
        <v>0.14084341364910699</v>
      </c>
      <c r="S165" s="32">
        <f>Q165</f>
        <v>7184</v>
      </c>
      <c r="T165" s="31">
        <f t="shared" si="35"/>
        <v>-43823</v>
      </c>
      <c r="U165" s="1" t="s">
        <v>3616</v>
      </c>
      <c r="V165" s="16"/>
      <c r="W165" s="30">
        <f t="shared" si="30"/>
        <v>0</v>
      </c>
      <c r="X165" s="27">
        <f t="shared" si="36"/>
        <v>0.14084341364910699</v>
      </c>
      <c r="Y165" s="18"/>
      <c r="Z165" s="19"/>
    </row>
    <row r="166" spans="1:26" x14ac:dyDescent="0.35">
      <c r="A166" s="29">
        <v>1</v>
      </c>
      <c r="B166" s="1" t="s">
        <v>3619</v>
      </c>
      <c r="C166" s="1"/>
      <c r="D166" s="1" t="s">
        <v>1079</v>
      </c>
      <c r="E166" s="1" t="s">
        <v>1080</v>
      </c>
      <c r="F166" s="1" t="s">
        <v>1081</v>
      </c>
      <c r="G166" s="5" t="s">
        <v>1082</v>
      </c>
      <c r="H166" s="1" t="s">
        <v>467</v>
      </c>
      <c r="I166" s="2">
        <v>46086</v>
      </c>
      <c r="J166" s="33">
        <f t="shared" si="33"/>
        <v>22401</v>
      </c>
      <c r="K166" s="3">
        <v>1643</v>
      </c>
      <c r="L166" s="3">
        <v>19758</v>
      </c>
      <c r="M166" s="3">
        <v>0</v>
      </c>
      <c r="N166" s="3">
        <v>0</v>
      </c>
      <c r="O166" s="3">
        <v>1000</v>
      </c>
      <c r="P166" s="1" t="s">
        <v>1083</v>
      </c>
      <c r="Q166" s="3">
        <v>60620</v>
      </c>
      <c r="R166" s="25">
        <f t="shared" si="34"/>
        <v>2.7061291906611311</v>
      </c>
      <c r="S166" s="32">
        <f>J166</f>
        <v>22401</v>
      </c>
      <c r="T166" s="3">
        <f t="shared" si="35"/>
        <v>0</v>
      </c>
      <c r="U166" s="1" t="s">
        <v>3615</v>
      </c>
      <c r="V166" s="16">
        <v>1</v>
      </c>
      <c r="W166" s="28">
        <f t="shared" si="30"/>
        <v>1</v>
      </c>
      <c r="X166" s="27">
        <f t="shared" si="36"/>
        <v>1</v>
      </c>
      <c r="Y166" s="18"/>
      <c r="Z166" s="19"/>
    </row>
    <row r="167" spans="1:26" x14ac:dyDescent="0.35">
      <c r="A167" s="29">
        <v>1</v>
      </c>
      <c r="B167" s="1" t="s">
        <v>3619</v>
      </c>
      <c r="C167" s="1"/>
      <c r="D167" s="1" t="s">
        <v>907</v>
      </c>
      <c r="E167" s="1" t="s">
        <v>908</v>
      </c>
      <c r="F167" s="1" t="s">
        <v>909</v>
      </c>
      <c r="G167" s="5" t="s">
        <v>910</v>
      </c>
      <c r="H167" s="1" t="s">
        <v>17</v>
      </c>
      <c r="I167" s="2">
        <v>46086</v>
      </c>
      <c r="J167" s="33">
        <f t="shared" si="33"/>
        <v>232045</v>
      </c>
      <c r="K167" s="3">
        <v>36876</v>
      </c>
      <c r="L167" s="3">
        <v>175419</v>
      </c>
      <c r="M167" s="3">
        <v>18750</v>
      </c>
      <c r="N167" s="3">
        <v>0</v>
      </c>
      <c r="O167" s="3">
        <v>1000</v>
      </c>
      <c r="P167" s="1" t="s">
        <v>911</v>
      </c>
      <c r="Q167" s="3">
        <v>29525</v>
      </c>
      <c r="R167" s="25">
        <f t="shared" si="34"/>
        <v>0.1272382512012756</v>
      </c>
      <c r="S167" s="32">
        <f>Q167</f>
        <v>29525</v>
      </c>
      <c r="T167" s="31">
        <f t="shared" si="35"/>
        <v>-202520</v>
      </c>
      <c r="U167" s="1" t="s">
        <v>3616</v>
      </c>
      <c r="V167" s="16"/>
      <c r="W167" s="30">
        <f t="shared" si="30"/>
        <v>0</v>
      </c>
      <c r="X167" s="27">
        <f t="shared" si="36"/>
        <v>0.1272382512012756</v>
      </c>
      <c r="Y167" s="18"/>
      <c r="Z167" s="19"/>
    </row>
    <row r="168" spans="1:26" x14ac:dyDescent="0.35">
      <c r="A168" s="29">
        <v>1</v>
      </c>
      <c r="B168" s="1" t="s">
        <v>3619</v>
      </c>
      <c r="C168" s="1"/>
      <c r="D168" s="1" t="s">
        <v>782</v>
      </c>
      <c r="E168" s="1" t="s">
        <v>783</v>
      </c>
      <c r="F168" s="1" t="s">
        <v>784</v>
      </c>
      <c r="G168" s="5" t="s">
        <v>785</v>
      </c>
      <c r="H168" s="1" t="s">
        <v>17</v>
      </c>
      <c r="I168" s="2">
        <v>46086</v>
      </c>
      <c r="J168" s="33">
        <f t="shared" si="33"/>
        <v>101013</v>
      </c>
      <c r="K168" s="3">
        <v>9513</v>
      </c>
      <c r="L168" s="3">
        <v>82167</v>
      </c>
      <c r="M168" s="3">
        <v>8333</v>
      </c>
      <c r="N168" s="3">
        <v>0</v>
      </c>
      <c r="O168" s="3">
        <v>1000</v>
      </c>
      <c r="P168" s="1" t="s">
        <v>786</v>
      </c>
      <c r="Q168" s="3">
        <v>209784</v>
      </c>
      <c r="R168" s="25">
        <f t="shared" si="34"/>
        <v>2.0768019957827208</v>
      </c>
      <c r="S168" s="32">
        <f>J168</f>
        <v>101013</v>
      </c>
      <c r="T168" s="3">
        <f t="shared" si="35"/>
        <v>0</v>
      </c>
      <c r="U168" s="1" t="s">
        <v>3615</v>
      </c>
      <c r="V168" s="16">
        <v>1</v>
      </c>
      <c r="W168" s="28">
        <f t="shared" si="30"/>
        <v>1</v>
      </c>
      <c r="X168" s="27">
        <f t="shared" si="36"/>
        <v>1</v>
      </c>
      <c r="Y168" s="18"/>
      <c r="Z168" s="19"/>
    </row>
    <row r="169" spans="1:26" x14ac:dyDescent="0.35">
      <c r="A169" s="29">
        <v>1</v>
      </c>
      <c r="B169" s="1" t="s">
        <v>3619</v>
      </c>
      <c r="C169" s="1"/>
      <c r="D169" s="1" t="s">
        <v>966</v>
      </c>
      <c r="E169" s="1" t="s">
        <v>967</v>
      </c>
      <c r="F169" s="1" t="s">
        <v>968</v>
      </c>
      <c r="G169" s="5" t="s">
        <v>969</v>
      </c>
      <c r="H169" s="1" t="s">
        <v>17</v>
      </c>
      <c r="I169" s="2">
        <v>46086</v>
      </c>
      <c r="J169" s="33">
        <f t="shared" si="33"/>
        <v>101013</v>
      </c>
      <c r="K169" s="3">
        <v>7353</v>
      </c>
      <c r="L169" s="3">
        <v>84327</v>
      </c>
      <c r="M169" s="3">
        <v>8333</v>
      </c>
      <c r="N169" s="3">
        <v>0</v>
      </c>
      <c r="O169" s="3">
        <v>1000</v>
      </c>
      <c r="P169" s="1" t="s">
        <v>970</v>
      </c>
      <c r="Q169" s="3">
        <v>100000</v>
      </c>
      <c r="R169" s="25">
        <f t="shared" si="34"/>
        <v>0.98997158781542971</v>
      </c>
      <c r="S169" s="32">
        <f>Q169</f>
        <v>100000</v>
      </c>
      <c r="T169" s="31">
        <f t="shared" si="35"/>
        <v>-1013</v>
      </c>
      <c r="U169" s="1" t="s">
        <v>3616</v>
      </c>
      <c r="V169" s="16"/>
      <c r="W169" s="30">
        <f t="shared" si="30"/>
        <v>0</v>
      </c>
      <c r="X169" s="27">
        <f t="shared" si="36"/>
        <v>0.98997158781542971</v>
      </c>
      <c r="Y169" s="18"/>
      <c r="Z169" s="19"/>
    </row>
    <row r="170" spans="1:26" x14ac:dyDescent="0.35">
      <c r="A170" s="29">
        <v>1</v>
      </c>
      <c r="B170" s="1" t="s">
        <v>3619</v>
      </c>
      <c r="C170" s="1"/>
      <c r="D170" s="1" t="s">
        <v>817</v>
      </c>
      <c r="E170" s="1" t="s">
        <v>818</v>
      </c>
      <c r="F170" s="1" t="s">
        <v>819</v>
      </c>
      <c r="G170" s="5" t="s">
        <v>820</v>
      </c>
      <c r="H170" s="1" t="s">
        <v>17</v>
      </c>
      <c r="I170" s="2">
        <v>46086</v>
      </c>
      <c r="J170" s="33">
        <f t="shared" si="33"/>
        <v>501067</v>
      </c>
      <c r="K170" s="3">
        <v>42259</v>
      </c>
      <c r="L170" s="3">
        <v>416141</v>
      </c>
      <c r="M170" s="3">
        <v>41667</v>
      </c>
      <c r="N170" s="3">
        <v>0</v>
      </c>
      <c r="O170" s="3">
        <v>1000</v>
      </c>
      <c r="P170" s="1" t="s">
        <v>821</v>
      </c>
      <c r="Q170" s="3">
        <v>553262</v>
      </c>
      <c r="R170" s="25">
        <f t="shared" si="34"/>
        <v>1.1041677061151502</v>
      </c>
      <c r="S170" s="32">
        <f>J170</f>
        <v>501067</v>
      </c>
      <c r="T170" s="3">
        <f t="shared" si="35"/>
        <v>0</v>
      </c>
      <c r="U170" s="1" t="s">
        <v>3615</v>
      </c>
      <c r="V170" s="16">
        <v>1</v>
      </c>
      <c r="W170" s="28">
        <f t="shared" si="30"/>
        <v>1</v>
      </c>
      <c r="X170" s="27">
        <f t="shared" si="36"/>
        <v>1</v>
      </c>
      <c r="Y170" s="18"/>
      <c r="Z170" s="19"/>
    </row>
    <row r="171" spans="1:26" x14ac:dyDescent="0.35">
      <c r="A171" s="29">
        <v>1</v>
      </c>
      <c r="B171" s="1" t="s">
        <v>3619</v>
      </c>
      <c r="C171" s="1"/>
      <c r="D171" s="1" t="s">
        <v>922</v>
      </c>
      <c r="E171" s="1" t="s">
        <v>923</v>
      </c>
      <c r="F171" s="1" t="s">
        <v>924</v>
      </c>
      <c r="G171" s="5" t="s">
        <v>925</v>
      </c>
      <c r="H171" s="1" t="s">
        <v>467</v>
      </c>
      <c r="I171" s="2">
        <v>46086</v>
      </c>
      <c r="J171" s="33">
        <f t="shared" si="33"/>
        <v>27751</v>
      </c>
      <c r="K171" s="3">
        <v>2340</v>
      </c>
      <c r="L171" s="3">
        <v>24411</v>
      </c>
      <c r="M171" s="3">
        <v>0</v>
      </c>
      <c r="N171" s="3">
        <v>0</v>
      </c>
      <c r="O171" s="3">
        <v>1000</v>
      </c>
      <c r="P171" s="1" t="s">
        <v>926</v>
      </c>
      <c r="Q171" s="3">
        <v>16237</v>
      </c>
      <c r="R171" s="25">
        <f t="shared" si="34"/>
        <v>0.58509603257540266</v>
      </c>
      <c r="S171" s="32">
        <f>Q171</f>
        <v>16237</v>
      </c>
      <c r="T171" s="31">
        <f t="shared" si="35"/>
        <v>-11514</v>
      </c>
      <c r="U171" s="1" t="s">
        <v>3616</v>
      </c>
      <c r="V171" s="16"/>
      <c r="W171" s="30">
        <f t="shared" si="30"/>
        <v>0</v>
      </c>
      <c r="X171" s="27">
        <f t="shared" si="36"/>
        <v>0.58509603257540266</v>
      </c>
      <c r="Y171" s="18"/>
      <c r="Z171" s="19"/>
    </row>
    <row r="172" spans="1:26" x14ac:dyDescent="0.35">
      <c r="A172" s="29">
        <v>1</v>
      </c>
      <c r="B172" s="1" t="s">
        <v>3619</v>
      </c>
      <c r="C172" s="1"/>
      <c r="D172" s="1" t="s">
        <v>737</v>
      </c>
      <c r="E172" s="1" t="s">
        <v>738</v>
      </c>
      <c r="F172" s="1" t="s">
        <v>739</v>
      </c>
      <c r="G172" s="5" t="s">
        <v>740</v>
      </c>
      <c r="H172" s="1" t="s">
        <v>17</v>
      </c>
      <c r="I172" s="2">
        <v>46086</v>
      </c>
      <c r="J172" s="33">
        <f t="shared" si="33"/>
        <v>101013</v>
      </c>
      <c r="K172" s="3">
        <v>8473</v>
      </c>
      <c r="L172" s="3">
        <v>83207</v>
      </c>
      <c r="M172" s="3">
        <v>8333</v>
      </c>
      <c r="N172" s="3">
        <v>0</v>
      </c>
      <c r="O172" s="3">
        <v>1000</v>
      </c>
      <c r="P172" s="1" t="s">
        <v>741</v>
      </c>
      <c r="Q172" s="3">
        <v>360601</v>
      </c>
      <c r="R172" s="25">
        <f t="shared" si="34"/>
        <v>3.5698474453783176</v>
      </c>
      <c r="S172" s="32">
        <f>J172</f>
        <v>101013</v>
      </c>
      <c r="T172" s="3">
        <f t="shared" si="35"/>
        <v>0</v>
      </c>
      <c r="U172" s="1" t="s">
        <v>3615</v>
      </c>
      <c r="V172" s="16">
        <v>1</v>
      </c>
      <c r="W172" s="28">
        <f t="shared" si="30"/>
        <v>1</v>
      </c>
      <c r="X172" s="27">
        <f t="shared" si="36"/>
        <v>1</v>
      </c>
      <c r="Y172" s="18"/>
      <c r="Z172" s="19"/>
    </row>
    <row r="173" spans="1:26" x14ac:dyDescent="0.35">
      <c r="A173" s="29">
        <v>1</v>
      </c>
      <c r="B173" s="1" t="s">
        <v>3619</v>
      </c>
      <c r="C173" s="1"/>
      <c r="D173" s="1" t="s">
        <v>927</v>
      </c>
      <c r="E173" s="1" t="s">
        <v>928</v>
      </c>
      <c r="F173" s="1" t="s">
        <v>929</v>
      </c>
      <c r="G173" s="5" t="s">
        <v>930</v>
      </c>
      <c r="H173" s="1" t="s">
        <v>467</v>
      </c>
      <c r="I173" s="2">
        <v>46086</v>
      </c>
      <c r="J173" s="33">
        <f t="shared" si="33"/>
        <v>85844</v>
      </c>
      <c r="K173" s="3">
        <v>6474</v>
      </c>
      <c r="L173" s="3">
        <v>78370</v>
      </c>
      <c r="M173" s="3">
        <v>0</v>
      </c>
      <c r="N173" s="3">
        <v>0</v>
      </c>
      <c r="O173" s="3">
        <v>1000</v>
      </c>
      <c r="P173" s="1" t="s">
        <v>931</v>
      </c>
      <c r="Q173" s="3">
        <v>29182</v>
      </c>
      <c r="R173" s="25">
        <f t="shared" si="34"/>
        <v>0.3399422207725642</v>
      </c>
      <c r="S173" s="32">
        <f>Q173</f>
        <v>29182</v>
      </c>
      <c r="T173" s="31">
        <f t="shared" si="35"/>
        <v>-56662</v>
      </c>
      <c r="U173" s="1" t="s">
        <v>3616</v>
      </c>
      <c r="V173" s="16"/>
      <c r="W173" s="30">
        <f t="shared" si="30"/>
        <v>0</v>
      </c>
      <c r="X173" s="27">
        <f t="shared" si="36"/>
        <v>0.3399422207725642</v>
      </c>
      <c r="Y173" s="18"/>
      <c r="Z173" s="19"/>
    </row>
    <row r="174" spans="1:26" x14ac:dyDescent="0.35">
      <c r="A174" s="29">
        <v>1</v>
      </c>
      <c r="B174" s="1" t="s">
        <v>3619</v>
      </c>
      <c r="C174" s="1"/>
      <c r="D174" s="1" t="s">
        <v>869</v>
      </c>
      <c r="E174" s="1" t="s">
        <v>870</v>
      </c>
      <c r="F174" s="1" t="s">
        <v>871</v>
      </c>
      <c r="G174" s="5" t="s">
        <v>872</v>
      </c>
      <c r="H174" s="1" t="s">
        <v>467</v>
      </c>
      <c r="I174" s="2">
        <v>46086</v>
      </c>
      <c r="J174" s="33">
        <f t="shared" si="33"/>
        <v>22401</v>
      </c>
      <c r="K174" s="3">
        <v>1422</v>
      </c>
      <c r="L174" s="3">
        <v>19979</v>
      </c>
      <c r="M174" s="3">
        <v>0</v>
      </c>
      <c r="N174" s="3">
        <v>0</v>
      </c>
      <c r="O174" s="3">
        <v>1000</v>
      </c>
      <c r="P174" s="1" t="s">
        <v>873</v>
      </c>
      <c r="Q174" s="3">
        <v>1452</v>
      </c>
      <c r="R174" s="25">
        <f t="shared" si="34"/>
        <v>6.4818534886835408E-2</v>
      </c>
      <c r="S174" s="32">
        <f>Q174</f>
        <v>1452</v>
      </c>
      <c r="T174" s="31">
        <f t="shared" si="35"/>
        <v>-20949</v>
      </c>
      <c r="U174" s="1" t="s">
        <v>3616</v>
      </c>
      <c r="V174" s="16"/>
      <c r="W174" s="30">
        <f t="shared" si="30"/>
        <v>0</v>
      </c>
      <c r="X174" s="27">
        <f t="shared" si="36"/>
        <v>6.4818534886835408E-2</v>
      </c>
      <c r="Y174" s="18"/>
      <c r="Z174" s="19"/>
    </row>
    <row r="175" spans="1:26" x14ac:dyDescent="0.35">
      <c r="A175" s="29">
        <v>1</v>
      </c>
      <c r="B175" s="1" t="s">
        <v>3619</v>
      </c>
      <c r="C175" s="1"/>
      <c r="D175" s="1" t="s">
        <v>1094</v>
      </c>
      <c r="E175" s="1" t="s">
        <v>1095</v>
      </c>
      <c r="F175" s="1" t="s">
        <v>1096</v>
      </c>
      <c r="G175" s="5" t="s">
        <v>1097</v>
      </c>
      <c r="H175" s="1" t="s">
        <v>17</v>
      </c>
      <c r="I175" s="2">
        <v>46086</v>
      </c>
      <c r="J175" s="33">
        <f t="shared" si="33"/>
        <v>61008</v>
      </c>
      <c r="K175" s="3">
        <v>7084</v>
      </c>
      <c r="L175" s="3">
        <v>47924</v>
      </c>
      <c r="M175" s="3">
        <v>5000</v>
      </c>
      <c r="N175" s="3">
        <v>0</v>
      </c>
      <c r="O175" s="3">
        <v>1000</v>
      </c>
      <c r="P175" s="1" t="s">
        <v>1098</v>
      </c>
      <c r="Q175" s="3">
        <v>14700</v>
      </c>
      <c r="R175" s="25">
        <f t="shared" si="34"/>
        <v>0.2409520062942565</v>
      </c>
      <c r="S175" s="32">
        <f>Q175</f>
        <v>14700</v>
      </c>
      <c r="T175" s="31">
        <f t="shared" si="35"/>
        <v>-46308</v>
      </c>
      <c r="U175" s="1" t="s">
        <v>3616</v>
      </c>
      <c r="V175" s="16"/>
      <c r="W175" s="30">
        <f t="shared" si="30"/>
        <v>0</v>
      </c>
      <c r="X175" s="27">
        <f t="shared" si="36"/>
        <v>0.2409520062942565</v>
      </c>
      <c r="Y175" s="18"/>
      <c r="Z175" s="19"/>
    </row>
    <row r="176" spans="1:26" x14ac:dyDescent="0.35">
      <c r="A176" s="29">
        <v>1</v>
      </c>
      <c r="B176" s="1" t="s">
        <v>3619</v>
      </c>
      <c r="C176" s="1"/>
      <c r="D176" s="1" t="s">
        <v>836</v>
      </c>
      <c r="E176" s="1" t="s">
        <v>837</v>
      </c>
      <c r="F176" s="1" t="s">
        <v>838</v>
      </c>
      <c r="G176" s="5" t="s">
        <v>839</v>
      </c>
      <c r="H176" s="1" t="s">
        <v>17</v>
      </c>
      <c r="I176" s="2">
        <v>46086</v>
      </c>
      <c r="J176" s="33">
        <f t="shared" si="33"/>
        <v>101013</v>
      </c>
      <c r="K176" s="3">
        <v>8459</v>
      </c>
      <c r="L176" s="3">
        <v>83221</v>
      </c>
      <c r="M176" s="3">
        <v>8333</v>
      </c>
      <c r="N176" s="3">
        <v>0</v>
      </c>
      <c r="O176" s="3">
        <v>1000</v>
      </c>
      <c r="P176" s="1" t="s">
        <v>840</v>
      </c>
      <c r="Q176" s="3">
        <v>19158</v>
      </c>
      <c r="R176" s="25">
        <f t="shared" si="34"/>
        <v>0.18965875679368002</v>
      </c>
      <c r="S176" s="32">
        <f>Q176</f>
        <v>19158</v>
      </c>
      <c r="T176" s="31">
        <f t="shared" si="35"/>
        <v>-81855</v>
      </c>
      <c r="U176" s="1" t="s">
        <v>3616</v>
      </c>
      <c r="V176" s="16"/>
      <c r="W176" s="30">
        <f t="shared" si="30"/>
        <v>0</v>
      </c>
      <c r="X176" s="27">
        <f t="shared" si="36"/>
        <v>0.18965875679368002</v>
      </c>
      <c r="Y176" s="18"/>
      <c r="Z176" s="19"/>
    </row>
    <row r="177" spans="1:26" x14ac:dyDescent="0.35">
      <c r="A177" s="29">
        <v>1</v>
      </c>
      <c r="B177" s="1" t="s">
        <v>3619</v>
      </c>
      <c r="C177" s="1"/>
      <c r="D177" s="1" t="s">
        <v>917</v>
      </c>
      <c r="E177" s="1" t="s">
        <v>918</v>
      </c>
      <c r="F177" s="1" t="s">
        <v>919</v>
      </c>
      <c r="G177" s="5" t="s">
        <v>920</v>
      </c>
      <c r="H177" s="1" t="s">
        <v>17</v>
      </c>
      <c r="I177" s="2">
        <v>46086</v>
      </c>
      <c r="J177" s="33">
        <f t="shared" si="33"/>
        <v>201027</v>
      </c>
      <c r="K177" s="3">
        <v>23475</v>
      </c>
      <c r="L177" s="3">
        <v>159885</v>
      </c>
      <c r="M177" s="3">
        <v>16667</v>
      </c>
      <c r="N177" s="3">
        <v>0</v>
      </c>
      <c r="O177" s="3">
        <v>1000</v>
      </c>
      <c r="P177" s="1" t="s">
        <v>921</v>
      </c>
      <c r="Q177" s="3">
        <v>224463</v>
      </c>
      <c r="R177" s="25">
        <f t="shared" si="34"/>
        <v>1.1165813547433927</v>
      </c>
      <c r="S177" s="32">
        <f>J177</f>
        <v>201027</v>
      </c>
      <c r="T177" s="3">
        <f t="shared" si="35"/>
        <v>0</v>
      </c>
      <c r="U177" s="1" t="s">
        <v>3615</v>
      </c>
      <c r="V177" s="16">
        <v>1</v>
      </c>
      <c r="W177" s="28">
        <f t="shared" si="30"/>
        <v>1</v>
      </c>
      <c r="X177" s="27">
        <f t="shared" si="36"/>
        <v>1</v>
      </c>
      <c r="Y177" s="18"/>
      <c r="Z177" s="19"/>
    </row>
    <row r="178" spans="1:26" x14ac:dyDescent="0.35">
      <c r="A178" s="29">
        <v>1</v>
      </c>
      <c r="B178" s="1" t="s">
        <v>3619</v>
      </c>
      <c r="C178" s="1"/>
      <c r="D178" s="1" t="s">
        <v>991</v>
      </c>
      <c r="E178" s="1" t="s">
        <v>992</v>
      </c>
      <c r="F178" s="1" t="s">
        <v>993</v>
      </c>
      <c r="G178" s="5" t="s">
        <v>994</v>
      </c>
      <c r="H178" s="1" t="s">
        <v>32</v>
      </c>
      <c r="I178" s="2">
        <v>46086</v>
      </c>
      <c r="J178" s="33">
        <f t="shared" si="33"/>
        <v>309060</v>
      </c>
      <c r="K178" s="3">
        <v>86795</v>
      </c>
      <c r="L178" s="3">
        <v>196265</v>
      </c>
      <c r="M178" s="3">
        <v>25000</v>
      </c>
      <c r="N178" s="3">
        <v>0</v>
      </c>
      <c r="O178" s="3">
        <v>1000</v>
      </c>
      <c r="P178" s="1" t="s">
        <v>995</v>
      </c>
      <c r="Q178" s="3">
        <v>63228</v>
      </c>
      <c r="R178" s="25">
        <f t="shared" si="34"/>
        <v>0.20458163463405163</v>
      </c>
      <c r="S178" s="32">
        <f>Q178</f>
        <v>63228</v>
      </c>
      <c r="T178" s="31">
        <f t="shared" si="35"/>
        <v>-245832</v>
      </c>
      <c r="U178" s="1" t="s">
        <v>3616</v>
      </c>
      <c r="V178" s="16"/>
      <c r="W178" s="30">
        <f t="shared" si="30"/>
        <v>0</v>
      </c>
      <c r="X178" s="27">
        <f t="shared" si="36"/>
        <v>0.20458163463405163</v>
      </c>
      <c r="Y178" s="18"/>
      <c r="Z178" s="19"/>
    </row>
    <row r="179" spans="1:26" x14ac:dyDescent="0.35">
      <c r="A179" s="29">
        <v>1</v>
      </c>
      <c r="B179" s="1" t="s">
        <v>3619</v>
      </c>
      <c r="C179" s="1"/>
      <c r="D179" s="1" t="s">
        <v>1148</v>
      </c>
      <c r="E179" s="1" t="s">
        <v>1149</v>
      </c>
      <c r="F179" s="1" t="s">
        <v>1150</v>
      </c>
      <c r="G179" s="5" t="s">
        <v>1151</v>
      </c>
      <c r="H179" s="1" t="s">
        <v>17</v>
      </c>
      <c r="I179" s="2">
        <v>46086</v>
      </c>
      <c r="J179" s="33">
        <f t="shared" si="33"/>
        <v>209084</v>
      </c>
      <c r="K179" s="3">
        <v>39762</v>
      </c>
      <c r="L179" s="3">
        <v>151655</v>
      </c>
      <c r="M179" s="3">
        <v>16667</v>
      </c>
      <c r="N179" s="3">
        <v>0</v>
      </c>
      <c r="O179" s="3">
        <v>1000</v>
      </c>
      <c r="P179" s="1" t="s">
        <v>1152</v>
      </c>
      <c r="Q179" s="3">
        <v>70832</v>
      </c>
      <c r="R179" s="25">
        <f t="shared" si="34"/>
        <v>0.33877293336649383</v>
      </c>
      <c r="S179" s="32">
        <f>Q179</f>
        <v>70832</v>
      </c>
      <c r="T179" s="31">
        <f t="shared" si="35"/>
        <v>-138252</v>
      </c>
      <c r="U179" s="1" t="s">
        <v>3616</v>
      </c>
      <c r="V179" s="16"/>
      <c r="W179" s="30">
        <f t="shared" si="30"/>
        <v>0</v>
      </c>
      <c r="X179" s="27">
        <f t="shared" si="36"/>
        <v>0.33877293336649383</v>
      </c>
      <c r="Y179" s="18"/>
      <c r="Z179" s="19"/>
    </row>
    <row r="180" spans="1:26" x14ac:dyDescent="0.35">
      <c r="A180" s="29">
        <v>1</v>
      </c>
      <c r="B180" s="1" t="s">
        <v>3619</v>
      </c>
      <c r="C180" s="1"/>
      <c r="D180" s="1" t="s">
        <v>864</v>
      </c>
      <c r="E180" s="1" t="s">
        <v>865</v>
      </c>
      <c r="F180" s="1" t="s">
        <v>866</v>
      </c>
      <c r="G180" s="5" t="s">
        <v>867</v>
      </c>
      <c r="H180" s="1" t="s">
        <v>17</v>
      </c>
      <c r="I180" s="2">
        <v>46086</v>
      </c>
      <c r="J180" s="33">
        <f t="shared" si="33"/>
        <v>101013</v>
      </c>
      <c r="K180" s="3">
        <v>9606</v>
      </c>
      <c r="L180" s="3">
        <v>82074</v>
      </c>
      <c r="M180" s="3">
        <v>8333</v>
      </c>
      <c r="N180" s="3">
        <v>0</v>
      </c>
      <c r="O180" s="3">
        <v>1000</v>
      </c>
      <c r="P180" s="1" t="s">
        <v>868</v>
      </c>
      <c r="Q180" s="3">
        <v>138922</v>
      </c>
      <c r="R180" s="25">
        <f t="shared" si="34"/>
        <v>1.3752883292249511</v>
      </c>
      <c r="S180" s="32">
        <f>J180</f>
        <v>101013</v>
      </c>
      <c r="T180" s="3">
        <f t="shared" si="35"/>
        <v>0</v>
      </c>
      <c r="U180" s="1" t="s">
        <v>3615</v>
      </c>
      <c r="V180" s="16">
        <v>1</v>
      </c>
      <c r="W180" s="28">
        <f t="shared" si="30"/>
        <v>1</v>
      </c>
      <c r="X180" s="27">
        <f t="shared" si="36"/>
        <v>1</v>
      </c>
      <c r="Y180" s="18"/>
      <c r="Z180" s="19"/>
    </row>
    <row r="181" spans="1:26" x14ac:dyDescent="0.35">
      <c r="A181" s="29">
        <v>1</v>
      </c>
      <c r="B181" s="1" t="s">
        <v>3619</v>
      </c>
      <c r="C181" s="1"/>
      <c r="D181" s="1" t="s">
        <v>882</v>
      </c>
      <c r="E181" s="1" t="s">
        <v>883</v>
      </c>
      <c r="F181" s="1" t="s">
        <v>884</v>
      </c>
      <c r="G181" s="5" t="s">
        <v>885</v>
      </c>
      <c r="H181" s="1" t="s">
        <v>17</v>
      </c>
      <c r="I181" s="2">
        <v>46086</v>
      </c>
      <c r="J181" s="33">
        <f t="shared" si="33"/>
        <v>105042</v>
      </c>
      <c r="K181" s="3">
        <v>17704</v>
      </c>
      <c r="L181" s="3">
        <v>78005</v>
      </c>
      <c r="M181" s="3">
        <v>8333</v>
      </c>
      <c r="N181" s="3">
        <v>0</v>
      </c>
      <c r="O181" s="3">
        <v>1000</v>
      </c>
      <c r="P181" s="1" t="s">
        <v>886</v>
      </c>
      <c r="Q181" s="3">
        <v>267141</v>
      </c>
      <c r="R181" s="25">
        <f t="shared" si="34"/>
        <v>2.5431827269092362</v>
      </c>
      <c r="S181" s="32">
        <f>J181</f>
        <v>105042</v>
      </c>
      <c r="T181" s="3">
        <f t="shared" si="35"/>
        <v>0</v>
      </c>
      <c r="U181" s="1" t="s">
        <v>3615</v>
      </c>
      <c r="V181" s="16">
        <v>1</v>
      </c>
      <c r="W181" s="28">
        <f t="shared" si="30"/>
        <v>1</v>
      </c>
      <c r="X181" s="27">
        <f t="shared" si="36"/>
        <v>1</v>
      </c>
      <c r="Y181" s="18"/>
      <c r="Z181" s="19"/>
    </row>
    <row r="182" spans="1:26" x14ac:dyDescent="0.35">
      <c r="A182" s="29">
        <v>1</v>
      </c>
      <c r="B182" s="1" t="s">
        <v>3619</v>
      </c>
      <c r="C182" s="1"/>
      <c r="D182" s="1" t="s">
        <v>905</v>
      </c>
      <c r="E182" s="1" t="s">
        <v>883</v>
      </c>
      <c r="F182" s="1" t="s">
        <v>884</v>
      </c>
      <c r="G182" s="5" t="s">
        <v>885</v>
      </c>
      <c r="H182" s="1" t="s">
        <v>878</v>
      </c>
      <c r="I182" s="2">
        <v>46086</v>
      </c>
      <c r="J182" s="33">
        <f t="shared" si="33"/>
        <v>4385</v>
      </c>
      <c r="K182" s="3">
        <v>331</v>
      </c>
      <c r="L182" s="3">
        <v>3054</v>
      </c>
      <c r="M182" s="3">
        <v>0</v>
      </c>
      <c r="N182" s="3">
        <v>0</v>
      </c>
      <c r="O182" s="3">
        <v>1000</v>
      </c>
      <c r="P182" s="1" t="s">
        <v>906</v>
      </c>
      <c r="Q182" s="3">
        <v>267141</v>
      </c>
      <c r="R182" s="25">
        <f t="shared" si="34"/>
        <v>60.921550741163053</v>
      </c>
      <c r="S182" s="32">
        <f>J182</f>
        <v>4385</v>
      </c>
      <c r="T182" s="3">
        <f t="shared" si="35"/>
        <v>0</v>
      </c>
      <c r="U182" s="1" t="s">
        <v>3615</v>
      </c>
      <c r="V182" s="16">
        <v>1</v>
      </c>
      <c r="W182" s="28">
        <f t="shared" si="30"/>
        <v>1</v>
      </c>
      <c r="X182" s="27">
        <f t="shared" si="36"/>
        <v>1</v>
      </c>
      <c r="Y182" s="18"/>
      <c r="Z182" s="19"/>
    </row>
    <row r="183" spans="1:26" x14ac:dyDescent="0.35">
      <c r="A183" s="29">
        <v>1</v>
      </c>
      <c r="B183" s="1" t="s">
        <v>3619</v>
      </c>
      <c r="C183" s="1"/>
      <c r="D183" s="1" t="s">
        <v>703</v>
      </c>
      <c r="E183" s="1" t="s">
        <v>704</v>
      </c>
      <c r="F183" s="1" t="s">
        <v>705</v>
      </c>
      <c r="G183" s="5" t="s">
        <v>706</v>
      </c>
      <c r="H183" s="1" t="s">
        <v>563</v>
      </c>
      <c r="I183" s="2">
        <v>46086</v>
      </c>
      <c r="J183" s="33">
        <f t="shared" si="33"/>
        <v>347807</v>
      </c>
      <c r="K183" s="3">
        <v>25098</v>
      </c>
      <c r="L183" s="3">
        <v>293931</v>
      </c>
      <c r="M183" s="3">
        <v>27778</v>
      </c>
      <c r="N183" s="3">
        <v>0</v>
      </c>
      <c r="O183" s="3">
        <v>1000</v>
      </c>
      <c r="P183" s="1" t="s">
        <v>707</v>
      </c>
      <c r="Q183" s="3">
        <v>23472</v>
      </c>
      <c r="R183" s="25">
        <f t="shared" si="34"/>
        <v>6.7485703277967379E-2</v>
      </c>
      <c r="S183" s="32">
        <f>Q183</f>
        <v>23472</v>
      </c>
      <c r="T183" s="31">
        <f t="shared" si="35"/>
        <v>-324335</v>
      </c>
      <c r="U183" s="1" t="s">
        <v>3616</v>
      </c>
      <c r="V183" s="16"/>
      <c r="W183" s="30">
        <f t="shared" si="30"/>
        <v>0</v>
      </c>
      <c r="X183" s="27">
        <f t="shared" si="36"/>
        <v>6.7485703277967379E-2</v>
      </c>
      <c r="Y183" s="18"/>
      <c r="Z183" s="19"/>
    </row>
    <row r="184" spans="1:26" x14ac:dyDescent="0.35">
      <c r="A184" s="29">
        <v>1</v>
      </c>
      <c r="B184" s="1" t="s">
        <v>3619</v>
      </c>
      <c r="C184" s="1"/>
      <c r="D184" s="1" t="s">
        <v>812</v>
      </c>
      <c r="E184" s="1" t="s">
        <v>813</v>
      </c>
      <c r="F184" s="1" t="s">
        <v>814</v>
      </c>
      <c r="G184" s="5" t="s">
        <v>815</v>
      </c>
      <c r="H184" s="1" t="s">
        <v>17</v>
      </c>
      <c r="I184" s="2">
        <v>46086</v>
      </c>
      <c r="J184" s="33">
        <f t="shared" si="33"/>
        <v>41005</v>
      </c>
      <c r="K184" s="3">
        <v>2929</v>
      </c>
      <c r="L184" s="3">
        <v>33743</v>
      </c>
      <c r="M184" s="3">
        <v>3333</v>
      </c>
      <c r="N184" s="3">
        <v>0</v>
      </c>
      <c r="O184" s="3">
        <v>1000</v>
      </c>
      <c r="P184" s="1" t="s">
        <v>816</v>
      </c>
      <c r="Q184" s="3">
        <v>11511</v>
      </c>
      <c r="R184" s="25">
        <f t="shared" si="34"/>
        <v>0.28072186318741615</v>
      </c>
      <c r="S184" s="32">
        <f>Q184</f>
        <v>11511</v>
      </c>
      <c r="T184" s="31">
        <f t="shared" si="35"/>
        <v>-29494</v>
      </c>
      <c r="U184" s="1" t="s">
        <v>3616</v>
      </c>
      <c r="V184" s="16"/>
      <c r="W184" s="30">
        <f t="shared" si="30"/>
        <v>0</v>
      </c>
      <c r="X184" s="27">
        <f t="shared" si="36"/>
        <v>0.28072186318741615</v>
      </c>
      <c r="Y184" s="18"/>
      <c r="Z184" s="19"/>
    </row>
    <row r="185" spans="1:26" x14ac:dyDescent="0.35">
      <c r="A185" s="29">
        <v>1</v>
      </c>
      <c r="B185" s="1" t="s">
        <v>3619</v>
      </c>
      <c r="C185" s="1"/>
      <c r="D185" s="1" t="s">
        <v>797</v>
      </c>
      <c r="E185" s="1" t="s">
        <v>798</v>
      </c>
      <c r="F185" s="1" t="s">
        <v>799</v>
      </c>
      <c r="G185" s="5" t="s">
        <v>800</v>
      </c>
      <c r="H185" s="1" t="s">
        <v>17</v>
      </c>
      <c r="I185" s="2">
        <v>46086</v>
      </c>
      <c r="J185" s="33">
        <f t="shared" si="33"/>
        <v>201027</v>
      </c>
      <c r="K185" s="3">
        <v>23420</v>
      </c>
      <c r="L185" s="3">
        <v>159940</v>
      </c>
      <c r="M185" s="3">
        <v>16667</v>
      </c>
      <c r="N185" s="3">
        <v>0</v>
      </c>
      <c r="O185" s="3">
        <v>1000</v>
      </c>
      <c r="P185" s="1" t="s">
        <v>801</v>
      </c>
      <c r="Q185" s="3">
        <v>340041</v>
      </c>
      <c r="R185" s="25">
        <f t="shared" si="34"/>
        <v>1.6915190496798937</v>
      </c>
      <c r="S185" s="32">
        <f t="shared" ref="S185:S190" si="37">J185</f>
        <v>201027</v>
      </c>
      <c r="T185" s="3">
        <f t="shared" si="35"/>
        <v>0</v>
      </c>
      <c r="U185" s="1" t="s">
        <v>3615</v>
      </c>
      <c r="V185" s="16">
        <v>1</v>
      </c>
      <c r="W185" s="28">
        <f t="shared" si="30"/>
        <v>1</v>
      </c>
      <c r="X185" s="27">
        <f t="shared" si="36"/>
        <v>1</v>
      </c>
      <c r="Y185" s="18"/>
      <c r="Z185" s="19"/>
    </row>
    <row r="186" spans="1:26" x14ac:dyDescent="0.35">
      <c r="A186" s="29">
        <v>1</v>
      </c>
      <c r="B186" s="1" t="s">
        <v>3619</v>
      </c>
      <c r="C186" s="1"/>
      <c r="D186" s="1" t="s">
        <v>787</v>
      </c>
      <c r="E186" s="1" t="s">
        <v>788</v>
      </c>
      <c r="F186" s="1" t="s">
        <v>789</v>
      </c>
      <c r="G186" s="5" t="s">
        <v>790</v>
      </c>
      <c r="H186" s="1" t="s">
        <v>467</v>
      </c>
      <c r="I186" s="2">
        <v>46086</v>
      </c>
      <c r="J186" s="33">
        <f t="shared" si="33"/>
        <v>32816</v>
      </c>
      <c r="K186" s="3">
        <v>2428</v>
      </c>
      <c r="L186" s="3">
        <v>29388</v>
      </c>
      <c r="M186" s="3">
        <v>0</v>
      </c>
      <c r="N186" s="3">
        <v>0</v>
      </c>
      <c r="O186" s="3">
        <v>1000</v>
      </c>
      <c r="P186" s="1" t="s">
        <v>791</v>
      </c>
      <c r="Q186" s="3">
        <v>48222</v>
      </c>
      <c r="R186" s="25">
        <f t="shared" si="34"/>
        <v>1.4694661140906875</v>
      </c>
      <c r="S186" s="32">
        <f t="shared" si="37"/>
        <v>32816</v>
      </c>
      <c r="T186" s="3">
        <f t="shared" si="35"/>
        <v>0</v>
      </c>
      <c r="U186" s="1" t="s">
        <v>3615</v>
      </c>
      <c r="V186" s="16">
        <v>1</v>
      </c>
      <c r="W186" s="28">
        <f t="shared" si="30"/>
        <v>1</v>
      </c>
      <c r="X186" s="27">
        <f t="shared" si="36"/>
        <v>1</v>
      </c>
      <c r="Y186" s="18"/>
      <c r="Z186" s="19"/>
    </row>
    <row r="187" spans="1:26" x14ac:dyDescent="0.35">
      <c r="A187" s="29">
        <v>1</v>
      </c>
      <c r="B187" s="1" t="s">
        <v>3619</v>
      </c>
      <c r="C187" s="1"/>
      <c r="D187" s="1" t="s">
        <v>1038</v>
      </c>
      <c r="E187" s="1" t="s">
        <v>1039</v>
      </c>
      <c r="F187" s="1" t="s">
        <v>1040</v>
      </c>
      <c r="G187" s="5" t="s">
        <v>1041</v>
      </c>
      <c r="H187" s="1" t="s">
        <v>17</v>
      </c>
      <c r="I187" s="2">
        <v>46086</v>
      </c>
      <c r="J187" s="33">
        <f t="shared" ref="J187:J218" si="38">SUM(K187:O187)</f>
        <v>81011</v>
      </c>
      <c r="K187" s="3">
        <v>7662</v>
      </c>
      <c r="L187" s="3">
        <v>65682</v>
      </c>
      <c r="M187" s="3">
        <v>6667</v>
      </c>
      <c r="N187" s="3">
        <v>0</v>
      </c>
      <c r="O187" s="3">
        <v>1000</v>
      </c>
      <c r="P187" s="1" t="s">
        <v>1042</v>
      </c>
      <c r="Q187" s="3">
        <v>160708</v>
      </c>
      <c r="R187" s="25">
        <f t="shared" ref="R187:R218" si="39">Q187/J187</f>
        <v>1.9837799804964757</v>
      </c>
      <c r="S187" s="32">
        <f t="shared" si="37"/>
        <v>81011</v>
      </c>
      <c r="T187" s="3">
        <f t="shared" ref="T187:T218" si="40">S187-J187</f>
        <v>0</v>
      </c>
      <c r="U187" s="1" t="s">
        <v>3615</v>
      </c>
      <c r="V187" s="16">
        <v>1</v>
      </c>
      <c r="W187" s="28">
        <f t="shared" si="30"/>
        <v>1</v>
      </c>
      <c r="X187" s="27">
        <f t="shared" ref="X187:X218" si="41">S187/J187</f>
        <v>1</v>
      </c>
      <c r="Y187" s="18"/>
      <c r="Z187" s="19"/>
    </row>
    <row r="188" spans="1:26" x14ac:dyDescent="0.35">
      <c r="A188" s="29">
        <v>1</v>
      </c>
      <c r="B188" s="1" t="s">
        <v>3619</v>
      </c>
      <c r="C188" s="1"/>
      <c r="D188" s="1" t="s">
        <v>961</v>
      </c>
      <c r="E188" s="1" t="s">
        <v>962</v>
      </c>
      <c r="F188" s="1" t="s">
        <v>963</v>
      </c>
      <c r="G188" s="5" t="s">
        <v>964</v>
      </c>
      <c r="H188" s="1" t="s">
        <v>17</v>
      </c>
      <c r="I188" s="2">
        <v>46086</v>
      </c>
      <c r="J188" s="33">
        <f t="shared" si="38"/>
        <v>81011</v>
      </c>
      <c r="K188" s="3">
        <v>6808</v>
      </c>
      <c r="L188" s="3">
        <v>66536</v>
      </c>
      <c r="M188" s="3">
        <v>6667</v>
      </c>
      <c r="N188" s="3">
        <v>0</v>
      </c>
      <c r="O188" s="3">
        <v>1000</v>
      </c>
      <c r="P188" s="1" t="s">
        <v>965</v>
      </c>
      <c r="Q188" s="3">
        <v>93326</v>
      </c>
      <c r="R188" s="25">
        <f t="shared" si="39"/>
        <v>1.1520163928355409</v>
      </c>
      <c r="S188" s="32">
        <f t="shared" si="37"/>
        <v>81011</v>
      </c>
      <c r="T188" s="3">
        <f t="shared" si="40"/>
        <v>0</v>
      </c>
      <c r="U188" s="1" t="s">
        <v>3615</v>
      </c>
      <c r="V188" s="16">
        <v>1</v>
      </c>
      <c r="W188" s="28">
        <f t="shared" si="30"/>
        <v>1</v>
      </c>
      <c r="X188" s="27">
        <f t="shared" si="41"/>
        <v>1</v>
      </c>
      <c r="Y188" s="18"/>
      <c r="Z188" s="19"/>
    </row>
    <row r="189" spans="1:26" x14ac:dyDescent="0.35">
      <c r="A189" s="29">
        <v>1</v>
      </c>
      <c r="B189" s="1" t="s">
        <v>3619</v>
      </c>
      <c r="C189" s="1"/>
      <c r="D189" s="1" t="s">
        <v>1099</v>
      </c>
      <c r="E189" s="1" t="s">
        <v>1100</v>
      </c>
      <c r="F189" s="1" t="s">
        <v>1101</v>
      </c>
      <c r="G189" s="5" t="s">
        <v>1102</v>
      </c>
      <c r="H189" s="1" t="s">
        <v>17</v>
      </c>
      <c r="I189" s="2">
        <v>46086</v>
      </c>
      <c r="J189" s="33">
        <f t="shared" si="38"/>
        <v>201027</v>
      </c>
      <c r="K189" s="3">
        <v>23517</v>
      </c>
      <c r="L189" s="3">
        <v>159843</v>
      </c>
      <c r="M189" s="3">
        <v>16667</v>
      </c>
      <c r="N189" s="3">
        <v>0</v>
      </c>
      <c r="O189" s="3">
        <v>1000</v>
      </c>
      <c r="P189" s="1" t="s">
        <v>1103</v>
      </c>
      <c r="Q189" s="3">
        <v>201872</v>
      </c>
      <c r="R189" s="24">
        <f t="shared" si="39"/>
        <v>1.0042034154616046</v>
      </c>
      <c r="S189" s="32">
        <f t="shared" si="37"/>
        <v>201027</v>
      </c>
      <c r="T189" s="31">
        <f t="shared" si="40"/>
        <v>0</v>
      </c>
      <c r="U189" s="1"/>
      <c r="V189" s="16"/>
      <c r="W189" s="30">
        <f t="shared" si="30"/>
        <v>0</v>
      </c>
      <c r="X189" s="27">
        <f t="shared" si="41"/>
        <v>1</v>
      </c>
      <c r="Y189" s="18"/>
      <c r="Z189" s="19"/>
    </row>
    <row r="190" spans="1:26" x14ac:dyDescent="0.35">
      <c r="A190" s="29">
        <v>1</v>
      </c>
      <c r="B190" s="1" t="s">
        <v>3619</v>
      </c>
      <c r="C190" s="1"/>
      <c r="D190" s="1" t="s">
        <v>1074</v>
      </c>
      <c r="E190" s="1" t="s">
        <v>1075</v>
      </c>
      <c r="F190" s="1" t="s">
        <v>1076</v>
      </c>
      <c r="G190" s="5" t="s">
        <v>1077</v>
      </c>
      <c r="H190" s="1" t="s">
        <v>467</v>
      </c>
      <c r="I190" s="2">
        <v>46086</v>
      </c>
      <c r="J190" s="33">
        <f t="shared" si="38"/>
        <v>43801</v>
      </c>
      <c r="K190" s="3">
        <v>3296</v>
      </c>
      <c r="L190" s="3">
        <v>39505</v>
      </c>
      <c r="M190" s="3">
        <v>0</v>
      </c>
      <c r="N190" s="3">
        <v>0</v>
      </c>
      <c r="O190" s="3">
        <v>1000</v>
      </c>
      <c r="P190" s="1" t="s">
        <v>1078</v>
      </c>
      <c r="Q190" s="3">
        <v>151237</v>
      </c>
      <c r="R190" s="25">
        <f t="shared" si="39"/>
        <v>3.4528207118558938</v>
      </c>
      <c r="S190" s="32">
        <f t="shared" si="37"/>
        <v>43801</v>
      </c>
      <c r="T190" s="3">
        <f t="shared" si="40"/>
        <v>0</v>
      </c>
      <c r="U190" s="1" t="s">
        <v>3615</v>
      </c>
      <c r="V190" s="16">
        <v>1</v>
      </c>
      <c r="W190" s="28">
        <f t="shared" si="30"/>
        <v>1</v>
      </c>
      <c r="X190" s="27">
        <f t="shared" si="41"/>
        <v>1</v>
      </c>
      <c r="Y190" s="18"/>
      <c r="Z190" s="19"/>
    </row>
    <row r="191" spans="1:26" x14ac:dyDescent="0.35">
      <c r="A191" s="29">
        <v>1</v>
      </c>
      <c r="B191" s="1" t="s">
        <v>3619</v>
      </c>
      <c r="C191" s="1"/>
      <c r="D191" s="1" t="s">
        <v>846</v>
      </c>
      <c r="E191" s="1" t="s">
        <v>847</v>
      </c>
      <c r="F191" s="1" t="s">
        <v>848</v>
      </c>
      <c r="G191" s="5" t="s">
        <v>849</v>
      </c>
      <c r="H191" s="1" t="s">
        <v>17</v>
      </c>
      <c r="I191" s="2">
        <v>46086</v>
      </c>
      <c r="J191" s="33">
        <f t="shared" si="38"/>
        <v>51007</v>
      </c>
      <c r="K191" s="3">
        <v>4810</v>
      </c>
      <c r="L191" s="3">
        <v>41030</v>
      </c>
      <c r="M191" s="3">
        <v>4167</v>
      </c>
      <c r="N191" s="3">
        <v>0</v>
      </c>
      <c r="O191" s="3">
        <v>1000</v>
      </c>
      <c r="P191" s="1" t="s">
        <v>850</v>
      </c>
      <c r="Q191" s="3">
        <v>38208</v>
      </c>
      <c r="R191" s="25">
        <f t="shared" si="39"/>
        <v>0.74907365655694313</v>
      </c>
      <c r="S191" s="32">
        <f>Q191</f>
        <v>38208</v>
      </c>
      <c r="T191" s="31">
        <f t="shared" si="40"/>
        <v>-12799</v>
      </c>
      <c r="U191" s="1" t="s">
        <v>3616</v>
      </c>
      <c r="V191" s="16"/>
      <c r="W191" s="30">
        <f t="shared" si="30"/>
        <v>0</v>
      </c>
      <c r="X191" s="27">
        <f t="shared" si="41"/>
        <v>0.74907365655694313</v>
      </c>
      <c r="Y191" s="18"/>
      <c r="Z191" s="19"/>
    </row>
    <row r="192" spans="1:26" x14ac:dyDescent="0.35">
      <c r="A192" s="29">
        <v>1</v>
      </c>
      <c r="B192" s="1" t="s">
        <v>3619</v>
      </c>
      <c r="C192" s="1"/>
      <c r="D192" s="1" t="s">
        <v>1089</v>
      </c>
      <c r="E192" s="1" t="s">
        <v>1090</v>
      </c>
      <c r="F192" s="1" t="s">
        <v>1091</v>
      </c>
      <c r="G192" s="5" t="s">
        <v>1092</v>
      </c>
      <c r="H192" s="1" t="s">
        <v>17</v>
      </c>
      <c r="I192" s="2">
        <v>46086</v>
      </c>
      <c r="J192" s="33">
        <f t="shared" si="38"/>
        <v>51007</v>
      </c>
      <c r="K192" s="3">
        <v>5924</v>
      </c>
      <c r="L192" s="3">
        <v>39916</v>
      </c>
      <c r="M192" s="3">
        <v>4167</v>
      </c>
      <c r="N192" s="3">
        <v>0</v>
      </c>
      <c r="O192" s="3">
        <v>1000</v>
      </c>
      <c r="P192" s="1" t="s">
        <v>1093</v>
      </c>
      <c r="Q192" s="3">
        <v>60258</v>
      </c>
      <c r="R192" s="25">
        <f t="shared" si="39"/>
        <v>1.1813672633167998</v>
      </c>
      <c r="S192" s="32">
        <f>J192</f>
        <v>51007</v>
      </c>
      <c r="T192" s="3">
        <f t="shared" si="40"/>
        <v>0</v>
      </c>
      <c r="U192" s="1" t="s">
        <v>3615</v>
      </c>
      <c r="V192" s="16">
        <v>1</v>
      </c>
      <c r="W192" s="28">
        <f t="shared" si="30"/>
        <v>1</v>
      </c>
      <c r="X192" s="27">
        <f t="shared" si="41"/>
        <v>1</v>
      </c>
      <c r="Y192" s="18"/>
      <c r="Z192" s="19"/>
    </row>
    <row r="193" spans="1:26" x14ac:dyDescent="0.35">
      <c r="A193" s="29">
        <v>1</v>
      </c>
      <c r="B193" s="1" t="s">
        <v>3619</v>
      </c>
      <c r="C193" s="1"/>
      <c r="D193" s="1" t="s">
        <v>777</v>
      </c>
      <c r="E193" s="1" t="s">
        <v>778</v>
      </c>
      <c r="F193" s="1" t="s">
        <v>779</v>
      </c>
      <c r="G193" s="5" t="s">
        <v>780</v>
      </c>
      <c r="H193" s="1" t="s">
        <v>17</v>
      </c>
      <c r="I193" s="2">
        <v>46086</v>
      </c>
      <c r="J193" s="33">
        <f t="shared" si="38"/>
        <v>201027</v>
      </c>
      <c r="K193" s="3">
        <v>16903</v>
      </c>
      <c r="L193" s="3">
        <v>166457</v>
      </c>
      <c r="M193" s="3">
        <v>16667</v>
      </c>
      <c r="N193" s="3">
        <v>0</v>
      </c>
      <c r="O193" s="3">
        <v>1000</v>
      </c>
      <c r="P193" s="1" t="s">
        <v>781</v>
      </c>
      <c r="Q193" s="3">
        <v>232691</v>
      </c>
      <c r="R193" s="25">
        <f t="shared" si="39"/>
        <v>1.1575111800902367</v>
      </c>
      <c r="S193" s="32">
        <f>J193</f>
        <v>201027</v>
      </c>
      <c r="T193" s="3">
        <f t="shared" si="40"/>
        <v>0</v>
      </c>
      <c r="U193" s="1" t="s">
        <v>3615</v>
      </c>
      <c r="V193" s="16">
        <v>1</v>
      </c>
      <c r="W193" s="28">
        <f t="shared" si="30"/>
        <v>1</v>
      </c>
      <c r="X193" s="27">
        <f t="shared" si="41"/>
        <v>1</v>
      </c>
      <c r="Y193" s="18"/>
      <c r="Z193" s="19"/>
    </row>
    <row r="194" spans="1:26" x14ac:dyDescent="0.35">
      <c r="A194" s="29">
        <v>1</v>
      </c>
      <c r="B194" s="1" t="s">
        <v>3619</v>
      </c>
      <c r="C194" s="1"/>
      <c r="D194" s="1" t="s">
        <v>712</v>
      </c>
      <c r="E194" s="1" t="s">
        <v>713</v>
      </c>
      <c r="F194" s="1" t="s">
        <v>714</v>
      </c>
      <c r="G194" s="5" t="s">
        <v>715</v>
      </c>
      <c r="H194" s="1" t="s">
        <v>17</v>
      </c>
      <c r="I194" s="2">
        <v>46086</v>
      </c>
      <c r="J194" s="33">
        <f t="shared" si="38"/>
        <v>25483</v>
      </c>
      <c r="K194" s="3">
        <v>2614</v>
      </c>
      <c r="L194" s="3">
        <v>19869</v>
      </c>
      <c r="M194" s="3">
        <v>2000</v>
      </c>
      <c r="N194" s="3">
        <v>0</v>
      </c>
      <c r="O194" s="3">
        <v>1000</v>
      </c>
      <c r="P194" s="1" t="s">
        <v>716</v>
      </c>
      <c r="Q194" s="3">
        <v>9025</v>
      </c>
      <c r="R194" s="25">
        <f t="shared" si="39"/>
        <v>0.35415767374327983</v>
      </c>
      <c r="S194" s="32">
        <f>Q194</f>
        <v>9025</v>
      </c>
      <c r="T194" s="31">
        <f t="shared" si="40"/>
        <v>-16458</v>
      </c>
      <c r="U194" s="1" t="s">
        <v>3616</v>
      </c>
      <c r="V194" s="16"/>
      <c r="W194" s="30">
        <f t="shared" si="30"/>
        <v>0</v>
      </c>
      <c r="X194" s="27">
        <f t="shared" si="41"/>
        <v>0.35415767374327983</v>
      </c>
      <c r="Y194" s="18"/>
      <c r="Z194" s="19"/>
    </row>
    <row r="195" spans="1:26" x14ac:dyDescent="0.35">
      <c r="A195" s="29">
        <v>1</v>
      </c>
      <c r="B195" s="1" t="s">
        <v>3619</v>
      </c>
      <c r="C195" s="1"/>
      <c r="D195" s="1" t="s">
        <v>1025</v>
      </c>
      <c r="E195" s="1" t="s">
        <v>1026</v>
      </c>
      <c r="F195" s="1" t="s">
        <v>1027</v>
      </c>
      <c r="G195" s="5" t="s">
        <v>1028</v>
      </c>
      <c r="H195" s="1" t="s">
        <v>17</v>
      </c>
      <c r="I195" s="2">
        <v>46086</v>
      </c>
      <c r="J195" s="33">
        <f t="shared" si="38"/>
        <v>151020</v>
      </c>
      <c r="K195" s="3">
        <v>11051</v>
      </c>
      <c r="L195" s="3">
        <v>126469</v>
      </c>
      <c r="M195" s="3">
        <v>12500</v>
      </c>
      <c r="N195" s="3">
        <v>0</v>
      </c>
      <c r="O195" s="3">
        <v>1000</v>
      </c>
      <c r="P195" s="1" t="s">
        <v>1029</v>
      </c>
      <c r="Q195" s="3">
        <v>0</v>
      </c>
      <c r="R195" s="25">
        <f t="shared" si="39"/>
        <v>0</v>
      </c>
      <c r="S195" s="32">
        <f>Q195</f>
        <v>0</v>
      </c>
      <c r="T195" s="31">
        <f t="shared" si="40"/>
        <v>-151020</v>
      </c>
      <c r="U195" s="1" t="s">
        <v>3616</v>
      </c>
      <c r="V195" s="16"/>
      <c r="W195" s="30">
        <f t="shared" ref="W195:W258" si="42">V195/A195</f>
        <v>0</v>
      </c>
      <c r="X195" s="27">
        <f t="shared" si="41"/>
        <v>0</v>
      </c>
      <c r="Y195" s="18"/>
      <c r="Z195" s="19"/>
    </row>
    <row r="196" spans="1:26" x14ac:dyDescent="0.35">
      <c r="A196" s="29">
        <v>1</v>
      </c>
      <c r="B196" s="1" t="s">
        <v>3619</v>
      </c>
      <c r="C196" s="1"/>
      <c r="D196" s="1" t="s">
        <v>1043</v>
      </c>
      <c r="E196" s="1" t="s">
        <v>1044</v>
      </c>
      <c r="F196" s="1" t="s">
        <v>1045</v>
      </c>
      <c r="G196" s="5" t="s">
        <v>1046</v>
      </c>
      <c r="H196" s="1" t="s">
        <v>17</v>
      </c>
      <c r="I196" s="2">
        <v>46086</v>
      </c>
      <c r="J196" s="33">
        <f t="shared" si="38"/>
        <v>131578</v>
      </c>
      <c r="K196" s="3">
        <v>16837</v>
      </c>
      <c r="L196" s="3">
        <v>103074</v>
      </c>
      <c r="M196" s="3">
        <v>10667</v>
      </c>
      <c r="N196" s="3">
        <v>0</v>
      </c>
      <c r="O196" s="3">
        <v>1000</v>
      </c>
      <c r="P196" s="1" t="s">
        <v>1047</v>
      </c>
      <c r="Q196" s="3">
        <v>322346</v>
      </c>
      <c r="R196" s="25">
        <f t="shared" si="39"/>
        <v>2.4498472389001202</v>
      </c>
      <c r="S196" s="32">
        <f>J196</f>
        <v>131578</v>
      </c>
      <c r="T196" s="3">
        <f t="shared" si="40"/>
        <v>0</v>
      </c>
      <c r="U196" s="1" t="s">
        <v>3615</v>
      </c>
      <c r="V196" s="16">
        <v>1</v>
      </c>
      <c r="W196" s="28">
        <f t="shared" si="42"/>
        <v>1</v>
      </c>
      <c r="X196" s="27">
        <f t="shared" si="41"/>
        <v>1</v>
      </c>
      <c r="Y196" s="18"/>
      <c r="Z196" s="19"/>
    </row>
    <row r="197" spans="1:26" x14ac:dyDescent="0.35">
      <c r="A197" s="29">
        <v>1</v>
      </c>
      <c r="B197" s="1" t="s">
        <v>3619</v>
      </c>
      <c r="C197" s="1"/>
      <c r="D197" s="1" t="s">
        <v>937</v>
      </c>
      <c r="E197" s="1" t="s">
        <v>938</v>
      </c>
      <c r="F197" s="1" t="s">
        <v>939</v>
      </c>
      <c r="G197" s="5" t="s">
        <v>940</v>
      </c>
      <c r="H197" s="1" t="s">
        <v>17</v>
      </c>
      <c r="I197" s="2">
        <v>46086</v>
      </c>
      <c r="J197" s="33">
        <f t="shared" si="38"/>
        <v>51007</v>
      </c>
      <c r="K197" s="3">
        <v>6435</v>
      </c>
      <c r="L197" s="3">
        <v>39405</v>
      </c>
      <c r="M197" s="3">
        <v>4167</v>
      </c>
      <c r="N197" s="3">
        <v>0</v>
      </c>
      <c r="O197" s="3">
        <v>1000</v>
      </c>
      <c r="P197" s="1" t="s">
        <v>941</v>
      </c>
      <c r="Q197" s="3">
        <v>11540</v>
      </c>
      <c r="R197" s="25">
        <f t="shared" si="39"/>
        <v>0.22624345678044189</v>
      </c>
      <c r="S197" s="32">
        <f>Q197</f>
        <v>11540</v>
      </c>
      <c r="T197" s="31">
        <f t="shared" si="40"/>
        <v>-39467</v>
      </c>
      <c r="U197" s="1" t="s">
        <v>3616</v>
      </c>
      <c r="V197" s="16"/>
      <c r="W197" s="30">
        <f t="shared" si="42"/>
        <v>0</v>
      </c>
      <c r="X197" s="27">
        <f t="shared" si="41"/>
        <v>0.22624345678044189</v>
      </c>
      <c r="Y197" s="18"/>
      <c r="Z197" s="19"/>
    </row>
    <row r="198" spans="1:26" x14ac:dyDescent="0.35">
      <c r="A198" s="29">
        <v>1</v>
      </c>
      <c r="B198" s="1" t="s">
        <v>3619</v>
      </c>
      <c r="C198" s="1"/>
      <c r="D198" s="1" t="s">
        <v>841</v>
      </c>
      <c r="E198" s="1" t="s">
        <v>842</v>
      </c>
      <c r="F198" s="1" t="s">
        <v>843</v>
      </c>
      <c r="G198" s="5" t="s">
        <v>844</v>
      </c>
      <c r="H198" s="1" t="s">
        <v>17</v>
      </c>
      <c r="I198" s="2">
        <v>46086</v>
      </c>
      <c r="J198" s="33">
        <f t="shared" si="38"/>
        <v>51007</v>
      </c>
      <c r="K198" s="3">
        <v>4229</v>
      </c>
      <c r="L198" s="3">
        <v>41611</v>
      </c>
      <c r="M198" s="3">
        <v>4167</v>
      </c>
      <c r="N198" s="3">
        <v>0</v>
      </c>
      <c r="O198" s="3">
        <v>1000</v>
      </c>
      <c r="P198" s="1" t="s">
        <v>845</v>
      </c>
      <c r="Q198" s="3">
        <v>33831</v>
      </c>
      <c r="R198" s="25">
        <f t="shared" si="39"/>
        <v>0.6632619052286941</v>
      </c>
      <c r="S198" s="32">
        <f>Q198</f>
        <v>33831</v>
      </c>
      <c r="T198" s="31">
        <f t="shared" si="40"/>
        <v>-17176</v>
      </c>
      <c r="U198" s="1" t="s">
        <v>3616</v>
      </c>
      <c r="V198" s="16"/>
      <c r="W198" s="30">
        <f t="shared" si="42"/>
        <v>0</v>
      </c>
      <c r="X198" s="27">
        <f t="shared" si="41"/>
        <v>0.6632619052286941</v>
      </c>
      <c r="Y198" s="18"/>
      <c r="Z198" s="19"/>
    </row>
    <row r="199" spans="1:26" x14ac:dyDescent="0.35">
      <c r="A199" s="29">
        <v>1</v>
      </c>
      <c r="B199" s="1" t="s">
        <v>3619</v>
      </c>
      <c r="C199" s="1"/>
      <c r="D199" s="1" t="s">
        <v>831</v>
      </c>
      <c r="E199" s="1" t="s">
        <v>832</v>
      </c>
      <c r="F199" s="1" t="s">
        <v>833</v>
      </c>
      <c r="G199" s="5" t="s">
        <v>834</v>
      </c>
      <c r="H199" s="1" t="s">
        <v>17</v>
      </c>
      <c r="I199" s="2">
        <v>46086</v>
      </c>
      <c r="J199" s="33">
        <f t="shared" si="38"/>
        <v>51007</v>
      </c>
      <c r="K199" s="3">
        <v>4229</v>
      </c>
      <c r="L199" s="3">
        <v>41611</v>
      </c>
      <c r="M199" s="3">
        <v>4167</v>
      </c>
      <c r="N199" s="3">
        <v>0</v>
      </c>
      <c r="O199" s="3">
        <v>1000</v>
      </c>
      <c r="P199" s="1" t="s">
        <v>835</v>
      </c>
      <c r="Q199" s="3">
        <v>33240</v>
      </c>
      <c r="R199" s="25">
        <f t="shared" si="39"/>
        <v>0.65167526025839595</v>
      </c>
      <c r="S199" s="32">
        <f>Q199</f>
        <v>33240</v>
      </c>
      <c r="T199" s="31">
        <f t="shared" si="40"/>
        <v>-17767</v>
      </c>
      <c r="U199" s="1" t="s">
        <v>3616</v>
      </c>
      <c r="V199" s="16"/>
      <c r="W199" s="30">
        <f t="shared" si="42"/>
        <v>0</v>
      </c>
      <c r="X199" s="27">
        <f t="shared" si="41"/>
        <v>0.65167526025839595</v>
      </c>
      <c r="Y199" s="18"/>
      <c r="Z199" s="19"/>
    </row>
    <row r="200" spans="1:26" x14ac:dyDescent="0.35">
      <c r="A200" s="29">
        <v>1</v>
      </c>
      <c r="B200" s="1" t="s">
        <v>3619</v>
      </c>
      <c r="C200" s="1"/>
      <c r="D200" s="1" t="s">
        <v>912</v>
      </c>
      <c r="E200" s="1" t="s">
        <v>913</v>
      </c>
      <c r="F200" s="1" t="s">
        <v>914</v>
      </c>
      <c r="G200" s="5" t="s">
        <v>915</v>
      </c>
      <c r="H200" s="1" t="s">
        <v>17</v>
      </c>
      <c r="I200" s="2">
        <v>46086</v>
      </c>
      <c r="J200" s="33">
        <f t="shared" si="38"/>
        <v>101013</v>
      </c>
      <c r="K200" s="3">
        <v>11738</v>
      </c>
      <c r="L200" s="3">
        <v>79942</v>
      </c>
      <c r="M200" s="3">
        <v>8333</v>
      </c>
      <c r="N200" s="3">
        <v>0</v>
      </c>
      <c r="O200" s="3">
        <v>1000</v>
      </c>
      <c r="P200" s="1" t="s">
        <v>916</v>
      </c>
      <c r="Q200" s="3">
        <v>204761</v>
      </c>
      <c r="R200" s="25">
        <f t="shared" si="39"/>
        <v>2.0270757229267522</v>
      </c>
      <c r="S200" s="32">
        <f>J200</f>
        <v>101013</v>
      </c>
      <c r="T200" s="3">
        <f t="shared" si="40"/>
        <v>0</v>
      </c>
      <c r="U200" s="1" t="s">
        <v>3615</v>
      </c>
      <c r="V200" s="16">
        <v>1</v>
      </c>
      <c r="W200" s="28">
        <f t="shared" si="42"/>
        <v>1</v>
      </c>
      <c r="X200" s="27">
        <f t="shared" si="41"/>
        <v>1</v>
      </c>
      <c r="Y200" s="18"/>
      <c r="Z200" s="19"/>
    </row>
    <row r="201" spans="1:26" x14ac:dyDescent="0.35">
      <c r="A201" s="29">
        <v>1</v>
      </c>
      <c r="B201" s="1" t="s">
        <v>3619</v>
      </c>
      <c r="C201" s="1"/>
      <c r="D201" s="1" t="s">
        <v>822</v>
      </c>
      <c r="E201" s="1" t="s">
        <v>823</v>
      </c>
      <c r="F201" s="1" t="s">
        <v>824</v>
      </c>
      <c r="G201" s="5" t="s">
        <v>825</v>
      </c>
      <c r="H201" s="1" t="s">
        <v>17</v>
      </c>
      <c r="I201" s="2">
        <v>46086</v>
      </c>
      <c r="J201" s="33">
        <f t="shared" si="38"/>
        <v>101013</v>
      </c>
      <c r="K201" s="3">
        <v>8459</v>
      </c>
      <c r="L201" s="3">
        <v>83221</v>
      </c>
      <c r="M201" s="3">
        <v>8333</v>
      </c>
      <c r="N201" s="3">
        <v>0</v>
      </c>
      <c r="O201" s="3">
        <v>1000</v>
      </c>
      <c r="P201" s="1" t="s">
        <v>826</v>
      </c>
      <c r="Q201" s="3">
        <v>365</v>
      </c>
      <c r="R201" s="25">
        <f t="shared" si="39"/>
        <v>3.6133962955263183E-3</v>
      </c>
      <c r="S201" s="32">
        <f>Q201</f>
        <v>365</v>
      </c>
      <c r="T201" s="31">
        <f t="shared" si="40"/>
        <v>-100648</v>
      </c>
      <c r="U201" s="1" t="s">
        <v>3616</v>
      </c>
      <c r="V201" s="16"/>
      <c r="W201" s="30">
        <f t="shared" si="42"/>
        <v>0</v>
      </c>
      <c r="X201" s="27">
        <f t="shared" si="41"/>
        <v>3.6133962955263183E-3</v>
      </c>
      <c r="Y201" s="18"/>
      <c r="Z201" s="19"/>
    </row>
    <row r="202" spans="1:26" x14ac:dyDescent="0.35">
      <c r="A202" s="29">
        <v>1</v>
      </c>
      <c r="B202" s="1" t="s">
        <v>3619</v>
      </c>
      <c r="C202" s="1"/>
      <c r="D202" s="1" t="s">
        <v>874</v>
      </c>
      <c r="E202" s="1" t="s">
        <v>875</v>
      </c>
      <c r="F202" s="1" t="s">
        <v>876</v>
      </c>
      <c r="G202" s="5" t="s">
        <v>877</v>
      </c>
      <c r="H202" s="1" t="s">
        <v>878</v>
      </c>
      <c r="I202" s="2">
        <v>46086</v>
      </c>
      <c r="J202" s="33">
        <f t="shared" si="38"/>
        <v>8221</v>
      </c>
      <c r="K202" s="3">
        <v>630</v>
      </c>
      <c r="L202" s="3">
        <v>6591</v>
      </c>
      <c r="M202" s="3">
        <v>0</v>
      </c>
      <c r="N202" s="3">
        <v>0</v>
      </c>
      <c r="O202" s="3">
        <v>1000</v>
      </c>
      <c r="P202" s="1" t="s">
        <v>879</v>
      </c>
      <c r="Q202" s="3">
        <v>98646</v>
      </c>
      <c r="R202" s="25">
        <f t="shared" si="39"/>
        <v>11.999270161780805</v>
      </c>
      <c r="S202" s="32">
        <f>J202</f>
        <v>8221</v>
      </c>
      <c r="T202" s="3">
        <f t="shared" si="40"/>
        <v>0</v>
      </c>
      <c r="U202" s="1" t="s">
        <v>3615</v>
      </c>
      <c r="V202" s="16">
        <v>1</v>
      </c>
      <c r="W202" s="28">
        <f t="shared" si="42"/>
        <v>1</v>
      </c>
      <c r="X202" s="27">
        <f t="shared" si="41"/>
        <v>1</v>
      </c>
      <c r="Y202" s="18"/>
      <c r="Z202" s="19"/>
    </row>
    <row r="203" spans="1:26" x14ac:dyDescent="0.35">
      <c r="A203" s="29">
        <v>1</v>
      </c>
      <c r="B203" s="1" t="s">
        <v>3619</v>
      </c>
      <c r="C203" s="1"/>
      <c r="D203" s="1" t="s">
        <v>880</v>
      </c>
      <c r="E203" s="1" t="s">
        <v>875</v>
      </c>
      <c r="F203" s="1" t="s">
        <v>876</v>
      </c>
      <c r="G203" s="5" t="s">
        <v>877</v>
      </c>
      <c r="H203" s="1" t="s">
        <v>17</v>
      </c>
      <c r="I203" s="2">
        <v>46086</v>
      </c>
      <c r="J203" s="33">
        <f t="shared" si="38"/>
        <v>81011</v>
      </c>
      <c r="K203" s="3">
        <v>7605</v>
      </c>
      <c r="L203" s="3">
        <v>65739</v>
      </c>
      <c r="M203" s="3">
        <v>6667</v>
      </c>
      <c r="N203" s="3">
        <v>0</v>
      </c>
      <c r="O203" s="3">
        <v>1000</v>
      </c>
      <c r="P203" s="1" t="s">
        <v>881</v>
      </c>
      <c r="Q203" s="3">
        <v>98646</v>
      </c>
      <c r="R203" s="25">
        <f t="shared" si="39"/>
        <v>1.2176864870202813</v>
      </c>
      <c r="S203" s="32">
        <f>J203</f>
        <v>81011</v>
      </c>
      <c r="T203" s="3">
        <f t="shared" si="40"/>
        <v>0</v>
      </c>
      <c r="U203" s="1" t="s">
        <v>3615</v>
      </c>
      <c r="V203" s="16">
        <v>1</v>
      </c>
      <c r="W203" s="28">
        <f t="shared" si="42"/>
        <v>1</v>
      </c>
      <c r="X203" s="27">
        <f t="shared" si="41"/>
        <v>1</v>
      </c>
      <c r="Y203" s="18"/>
      <c r="Z203" s="19"/>
    </row>
    <row r="204" spans="1:26" x14ac:dyDescent="0.35">
      <c r="A204" s="29">
        <v>1</v>
      </c>
      <c r="B204" s="1" t="s">
        <v>3619</v>
      </c>
      <c r="C204" s="1"/>
      <c r="D204" s="1" t="s">
        <v>1143</v>
      </c>
      <c r="E204" s="1" t="s">
        <v>1144</v>
      </c>
      <c r="F204" s="1" t="s">
        <v>1145</v>
      </c>
      <c r="G204" s="5" t="s">
        <v>1146</v>
      </c>
      <c r="H204" s="1" t="s">
        <v>17</v>
      </c>
      <c r="I204" s="2">
        <v>46086</v>
      </c>
      <c r="J204" s="33">
        <f t="shared" si="38"/>
        <v>31004</v>
      </c>
      <c r="K204" s="3">
        <v>3861</v>
      </c>
      <c r="L204" s="3">
        <v>23643</v>
      </c>
      <c r="M204" s="3">
        <v>2500</v>
      </c>
      <c r="N204" s="3">
        <v>0</v>
      </c>
      <c r="O204" s="3">
        <v>1000</v>
      </c>
      <c r="P204" s="1" t="s">
        <v>1147</v>
      </c>
      <c r="Q204" s="3">
        <v>74582</v>
      </c>
      <c r="R204" s="25">
        <f t="shared" si="39"/>
        <v>2.4055605728293123</v>
      </c>
      <c r="S204" s="32">
        <f>J204</f>
        <v>31004</v>
      </c>
      <c r="T204" s="3">
        <f t="shared" si="40"/>
        <v>0</v>
      </c>
      <c r="U204" s="1" t="s">
        <v>3615</v>
      </c>
      <c r="V204" s="16">
        <v>1</v>
      </c>
      <c r="W204" s="28">
        <f t="shared" si="42"/>
        <v>1</v>
      </c>
      <c r="X204" s="27">
        <f t="shared" si="41"/>
        <v>1</v>
      </c>
      <c r="Y204" s="18"/>
      <c r="Z204" s="19"/>
    </row>
    <row r="205" spans="1:26" x14ac:dyDescent="0.35">
      <c r="A205" s="29">
        <v>1</v>
      </c>
      <c r="B205" s="1" t="s">
        <v>3619</v>
      </c>
      <c r="C205" s="1"/>
      <c r="D205" s="1" t="s">
        <v>956</v>
      </c>
      <c r="E205" s="1" t="s">
        <v>957</v>
      </c>
      <c r="F205" s="1" t="s">
        <v>958</v>
      </c>
      <c r="G205" s="5" t="s">
        <v>959</v>
      </c>
      <c r="H205" s="1" t="s">
        <v>17</v>
      </c>
      <c r="I205" s="2">
        <v>46086</v>
      </c>
      <c r="J205" s="33">
        <f t="shared" si="38"/>
        <v>401053</v>
      </c>
      <c r="K205" s="3">
        <v>29060</v>
      </c>
      <c r="L205" s="3">
        <v>337660</v>
      </c>
      <c r="M205" s="3">
        <v>33333</v>
      </c>
      <c r="N205" s="3">
        <v>0</v>
      </c>
      <c r="O205" s="3">
        <v>1000</v>
      </c>
      <c r="P205" s="1" t="s">
        <v>960</v>
      </c>
      <c r="Q205" s="3">
        <v>1368706</v>
      </c>
      <c r="R205" s="25">
        <f t="shared" si="39"/>
        <v>3.4127808544007898</v>
      </c>
      <c r="S205" s="32">
        <f>J205</f>
        <v>401053</v>
      </c>
      <c r="T205" s="3">
        <f t="shared" si="40"/>
        <v>0</v>
      </c>
      <c r="U205" s="1" t="s">
        <v>3615</v>
      </c>
      <c r="V205" s="16">
        <v>1</v>
      </c>
      <c r="W205" s="28">
        <f t="shared" si="42"/>
        <v>1</v>
      </c>
      <c r="X205" s="27">
        <f t="shared" si="41"/>
        <v>1</v>
      </c>
      <c r="Y205" s="18"/>
      <c r="Z205" s="19"/>
    </row>
    <row r="206" spans="1:26" x14ac:dyDescent="0.35">
      <c r="A206" s="29">
        <v>1</v>
      </c>
      <c r="B206" s="1" t="s">
        <v>3619</v>
      </c>
      <c r="C206" s="1"/>
      <c r="D206" s="1" t="s">
        <v>892</v>
      </c>
      <c r="E206" s="1" t="s">
        <v>893</v>
      </c>
      <c r="F206" s="1" t="s">
        <v>894</v>
      </c>
      <c r="G206" s="5" t="s">
        <v>895</v>
      </c>
      <c r="H206" s="1" t="s">
        <v>17</v>
      </c>
      <c r="I206" s="2">
        <v>46086</v>
      </c>
      <c r="J206" s="33">
        <f t="shared" si="38"/>
        <v>51007</v>
      </c>
      <c r="K206" s="3">
        <v>6435</v>
      </c>
      <c r="L206" s="3">
        <v>39405</v>
      </c>
      <c r="M206" s="3">
        <v>4167</v>
      </c>
      <c r="N206" s="3">
        <v>0</v>
      </c>
      <c r="O206" s="3">
        <v>1000</v>
      </c>
      <c r="P206" s="1" t="s">
        <v>896</v>
      </c>
      <c r="Q206" s="3">
        <v>27274</v>
      </c>
      <c r="R206" s="25">
        <f t="shared" si="39"/>
        <v>0.53471092203030957</v>
      </c>
      <c r="S206" s="32">
        <f>Q206</f>
        <v>27274</v>
      </c>
      <c r="T206" s="31">
        <f t="shared" si="40"/>
        <v>-23733</v>
      </c>
      <c r="U206" s="1" t="s">
        <v>3616</v>
      </c>
      <c r="V206" s="16"/>
      <c r="W206" s="30">
        <f t="shared" si="42"/>
        <v>0</v>
      </c>
      <c r="X206" s="27">
        <f t="shared" si="41"/>
        <v>0.53471092203030957</v>
      </c>
      <c r="Y206" s="18"/>
      <c r="Z206" s="19"/>
    </row>
    <row r="207" spans="1:26" x14ac:dyDescent="0.35">
      <c r="A207" s="29">
        <v>1</v>
      </c>
      <c r="B207" s="1" t="s">
        <v>3619</v>
      </c>
      <c r="C207" s="1"/>
      <c r="D207" s="1" t="s">
        <v>767</v>
      </c>
      <c r="E207" s="1" t="s">
        <v>768</v>
      </c>
      <c r="F207" s="1" t="s">
        <v>769</v>
      </c>
      <c r="G207" s="5" t="s">
        <v>770</v>
      </c>
      <c r="H207" s="1" t="s">
        <v>17</v>
      </c>
      <c r="I207" s="2">
        <v>46086</v>
      </c>
      <c r="J207" s="33">
        <f t="shared" si="38"/>
        <v>41005</v>
      </c>
      <c r="K207" s="3">
        <v>2924</v>
      </c>
      <c r="L207" s="3">
        <v>33748</v>
      </c>
      <c r="M207" s="3">
        <v>3333</v>
      </c>
      <c r="N207" s="3">
        <v>0</v>
      </c>
      <c r="O207" s="3">
        <v>1000</v>
      </c>
      <c r="P207" s="1" t="s">
        <v>771</v>
      </c>
      <c r="Q207" s="3">
        <v>0</v>
      </c>
      <c r="R207" s="25">
        <f t="shared" si="39"/>
        <v>0</v>
      </c>
      <c r="S207" s="32">
        <f>Q207</f>
        <v>0</v>
      </c>
      <c r="T207" s="31">
        <f t="shared" si="40"/>
        <v>-41005</v>
      </c>
      <c r="U207" s="1" t="s">
        <v>3616</v>
      </c>
      <c r="V207" s="16"/>
      <c r="W207" s="30">
        <f t="shared" si="42"/>
        <v>0</v>
      </c>
      <c r="X207" s="27">
        <f t="shared" si="41"/>
        <v>0</v>
      </c>
      <c r="Y207" s="18"/>
      <c r="Z207" s="19"/>
    </row>
    <row r="208" spans="1:26" x14ac:dyDescent="0.35">
      <c r="A208" s="29">
        <v>1</v>
      </c>
      <c r="B208" s="1" t="s">
        <v>3619</v>
      </c>
      <c r="C208" s="1"/>
      <c r="D208" s="1" t="s">
        <v>887</v>
      </c>
      <c r="E208" s="1" t="s">
        <v>888</v>
      </c>
      <c r="F208" s="1" t="s">
        <v>889</v>
      </c>
      <c r="G208" s="5" t="s">
        <v>890</v>
      </c>
      <c r="H208" s="1" t="s">
        <v>17</v>
      </c>
      <c r="I208" s="2">
        <v>46086</v>
      </c>
      <c r="J208" s="33">
        <f t="shared" si="38"/>
        <v>51245</v>
      </c>
      <c r="K208" s="3">
        <v>5603</v>
      </c>
      <c r="L208" s="3">
        <v>40475</v>
      </c>
      <c r="M208" s="3">
        <v>4167</v>
      </c>
      <c r="N208" s="3">
        <v>0</v>
      </c>
      <c r="O208" s="3">
        <v>1000</v>
      </c>
      <c r="P208" s="1" t="s">
        <v>891</v>
      </c>
      <c r="Q208" s="3">
        <v>75765</v>
      </c>
      <c r="R208" s="25">
        <f t="shared" si="39"/>
        <v>1.4784857059225289</v>
      </c>
      <c r="S208" s="32">
        <f>J208</f>
        <v>51245</v>
      </c>
      <c r="T208" s="3">
        <f t="shared" si="40"/>
        <v>0</v>
      </c>
      <c r="U208" s="1" t="s">
        <v>3615</v>
      </c>
      <c r="V208" s="16">
        <v>1</v>
      </c>
      <c r="W208" s="28">
        <f t="shared" si="42"/>
        <v>1</v>
      </c>
      <c r="X208" s="27">
        <f t="shared" si="41"/>
        <v>1</v>
      </c>
      <c r="Y208" s="18"/>
      <c r="Z208" s="19"/>
    </row>
    <row r="209" spans="1:26" x14ac:dyDescent="0.35">
      <c r="A209" s="29">
        <v>1</v>
      </c>
      <c r="B209" s="1" t="s">
        <v>3619</v>
      </c>
      <c r="C209" s="1"/>
      <c r="D209" s="1" t="s">
        <v>946</v>
      </c>
      <c r="E209" s="1" t="s">
        <v>947</v>
      </c>
      <c r="F209" s="1" t="s">
        <v>948</v>
      </c>
      <c r="G209" s="5" t="s">
        <v>949</v>
      </c>
      <c r="H209" s="1" t="s">
        <v>17</v>
      </c>
      <c r="I209" s="2">
        <v>46086</v>
      </c>
      <c r="J209" s="33">
        <f t="shared" si="38"/>
        <v>201980</v>
      </c>
      <c r="K209" s="3">
        <v>54137</v>
      </c>
      <c r="L209" s="3">
        <v>130176</v>
      </c>
      <c r="M209" s="3">
        <v>16667</v>
      </c>
      <c r="N209" s="3">
        <v>0</v>
      </c>
      <c r="O209" s="3">
        <v>1000</v>
      </c>
      <c r="P209" s="1" t="s">
        <v>950</v>
      </c>
      <c r="Q209" s="3">
        <v>241079</v>
      </c>
      <c r="R209" s="25">
        <f t="shared" si="39"/>
        <v>1.1935785721358549</v>
      </c>
      <c r="S209" s="32">
        <f>J209</f>
        <v>201980</v>
      </c>
      <c r="T209" s="3">
        <f t="shared" si="40"/>
        <v>0</v>
      </c>
      <c r="U209" s="1" t="s">
        <v>3615</v>
      </c>
      <c r="V209" s="16">
        <v>1</v>
      </c>
      <c r="W209" s="28">
        <f t="shared" si="42"/>
        <v>1</v>
      </c>
      <c r="X209" s="27">
        <f t="shared" si="41"/>
        <v>1</v>
      </c>
      <c r="Y209" s="18"/>
      <c r="Z209" s="19"/>
    </row>
    <row r="210" spans="1:26" x14ac:dyDescent="0.35">
      <c r="A210" s="29">
        <v>1</v>
      </c>
      <c r="B210" s="1" t="s">
        <v>3619</v>
      </c>
      <c r="C210" s="1"/>
      <c r="D210" s="1" t="s">
        <v>1134</v>
      </c>
      <c r="E210" s="1" t="s">
        <v>1135</v>
      </c>
      <c r="F210" s="1" t="s">
        <v>1136</v>
      </c>
      <c r="G210" s="5" t="s">
        <v>1137</v>
      </c>
      <c r="H210" s="1" t="s">
        <v>17</v>
      </c>
      <c r="I210" s="2">
        <v>46086</v>
      </c>
      <c r="J210" s="33">
        <f t="shared" si="38"/>
        <v>61008</v>
      </c>
      <c r="K210" s="3">
        <v>7721</v>
      </c>
      <c r="L210" s="3">
        <v>47287</v>
      </c>
      <c r="M210" s="3">
        <v>5000</v>
      </c>
      <c r="N210" s="3">
        <v>0</v>
      </c>
      <c r="O210" s="3">
        <v>1000</v>
      </c>
      <c r="P210" s="1" t="s">
        <v>1138</v>
      </c>
      <c r="Q210" s="3">
        <v>124392</v>
      </c>
      <c r="R210" s="25">
        <f t="shared" si="39"/>
        <v>2.0389457120377656</v>
      </c>
      <c r="S210" s="32">
        <f>J210</f>
        <v>61008</v>
      </c>
      <c r="T210" s="3">
        <f t="shared" si="40"/>
        <v>0</v>
      </c>
      <c r="U210" s="1" t="s">
        <v>3615</v>
      </c>
      <c r="V210" s="16">
        <v>1</v>
      </c>
      <c r="W210" s="28">
        <f t="shared" si="42"/>
        <v>1</v>
      </c>
      <c r="X210" s="27">
        <f t="shared" si="41"/>
        <v>1</v>
      </c>
      <c r="Y210" s="18"/>
      <c r="Z210" s="19"/>
    </row>
    <row r="211" spans="1:26" x14ac:dyDescent="0.35">
      <c r="A211" s="29">
        <v>1</v>
      </c>
      <c r="B211" s="1" t="s">
        <v>3619</v>
      </c>
      <c r="C211" s="1"/>
      <c r="D211" s="1" t="s">
        <v>807</v>
      </c>
      <c r="E211" s="1" t="s">
        <v>808</v>
      </c>
      <c r="F211" s="1" t="s">
        <v>809</v>
      </c>
      <c r="G211" s="5" t="s">
        <v>810</v>
      </c>
      <c r="H211" s="1" t="s">
        <v>17</v>
      </c>
      <c r="I211" s="2">
        <v>46086</v>
      </c>
      <c r="J211" s="33">
        <f t="shared" si="38"/>
        <v>100849</v>
      </c>
      <c r="K211" s="3">
        <v>8840</v>
      </c>
      <c r="L211" s="3">
        <v>83317</v>
      </c>
      <c r="M211" s="3">
        <v>7692</v>
      </c>
      <c r="N211" s="3">
        <v>0</v>
      </c>
      <c r="O211" s="3">
        <v>1000</v>
      </c>
      <c r="P211" s="1" t="s">
        <v>811</v>
      </c>
      <c r="Q211" s="3">
        <v>100000</v>
      </c>
      <c r="R211" s="25">
        <f t="shared" si="39"/>
        <v>0.99158147329175306</v>
      </c>
      <c r="S211" s="32">
        <f>Q211</f>
        <v>100000</v>
      </c>
      <c r="T211" s="31">
        <f t="shared" si="40"/>
        <v>-849</v>
      </c>
      <c r="U211" s="1" t="s">
        <v>3616</v>
      </c>
      <c r="V211" s="16"/>
      <c r="W211" s="30">
        <f t="shared" si="42"/>
        <v>0</v>
      </c>
      <c r="X211" s="27">
        <f t="shared" si="41"/>
        <v>0.99158147329175306</v>
      </c>
      <c r="Y211" s="18"/>
      <c r="Z211" s="19"/>
    </row>
    <row r="212" spans="1:26" x14ac:dyDescent="0.35">
      <c r="A212" s="29">
        <v>1</v>
      </c>
      <c r="B212" s="1" t="s">
        <v>3619</v>
      </c>
      <c r="C212" s="1"/>
      <c r="D212" s="1" t="s">
        <v>859</v>
      </c>
      <c r="E212" s="1" t="s">
        <v>860</v>
      </c>
      <c r="F212" s="1" t="s">
        <v>861</v>
      </c>
      <c r="G212" s="5" t="s">
        <v>862</v>
      </c>
      <c r="H212" s="1" t="s">
        <v>17</v>
      </c>
      <c r="I212" s="2">
        <v>46086</v>
      </c>
      <c r="J212" s="33">
        <f t="shared" si="38"/>
        <v>51245</v>
      </c>
      <c r="K212" s="3">
        <v>5062</v>
      </c>
      <c r="L212" s="3">
        <v>41016</v>
      </c>
      <c r="M212" s="3">
        <v>4167</v>
      </c>
      <c r="N212" s="3">
        <v>0</v>
      </c>
      <c r="O212" s="3">
        <v>1000</v>
      </c>
      <c r="P212" s="1" t="s">
        <v>863</v>
      </c>
      <c r="Q212" s="3">
        <v>100448</v>
      </c>
      <c r="R212" s="25">
        <f t="shared" si="39"/>
        <v>1.9601522099717046</v>
      </c>
      <c r="S212" s="32">
        <f>J212</f>
        <v>51245</v>
      </c>
      <c r="T212" s="3">
        <f t="shared" si="40"/>
        <v>0</v>
      </c>
      <c r="U212" s="1" t="s">
        <v>3615</v>
      </c>
      <c r="V212" s="16">
        <v>1</v>
      </c>
      <c r="W212" s="28">
        <f t="shared" si="42"/>
        <v>1</v>
      </c>
      <c r="X212" s="27">
        <f t="shared" si="41"/>
        <v>1</v>
      </c>
      <c r="Y212" s="18"/>
      <c r="Z212" s="19"/>
    </row>
    <row r="213" spans="1:26" x14ac:dyDescent="0.35">
      <c r="A213" s="29">
        <v>1</v>
      </c>
      <c r="B213" s="1" t="s">
        <v>3619</v>
      </c>
      <c r="C213" s="1"/>
      <c r="D213" s="1" t="s">
        <v>1176</v>
      </c>
      <c r="E213" s="1" t="s">
        <v>1177</v>
      </c>
      <c r="F213" s="1" t="s">
        <v>1178</v>
      </c>
      <c r="G213" s="5" t="s">
        <v>1179</v>
      </c>
      <c r="H213" s="1" t="s">
        <v>17</v>
      </c>
      <c r="I213" s="2">
        <v>46086</v>
      </c>
      <c r="J213" s="33">
        <f t="shared" si="38"/>
        <v>51007</v>
      </c>
      <c r="K213" s="3">
        <v>7397</v>
      </c>
      <c r="L213" s="3">
        <v>38443</v>
      </c>
      <c r="M213" s="3">
        <v>4167</v>
      </c>
      <c r="N213" s="3">
        <v>0</v>
      </c>
      <c r="O213" s="3">
        <v>1000</v>
      </c>
      <c r="P213" s="1" t="s">
        <v>1180</v>
      </c>
      <c r="Q213" s="3">
        <v>75198</v>
      </c>
      <c r="R213" s="25">
        <f t="shared" si="39"/>
        <v>1.4742682376928657</v>
      </c>
      <c r="S213" s="32">
        <f>J213</f>
        <v>51007</v>
      </c>
      <c r="T213" s="3">
        <f t="shared" si="40"/>
        <v>0</v>
      </c>
      <c r="U213" s="1" t="s">
        <v>3615</v>
      </c>
      <c r="V213" s="16">
        <v>1</v>
      </c>
      <c r="W213" s="28">
        <f t="shared" si="42"/>
        <v>1</v>
      </c>
      <c r="X213" s="27">
        <f t="shared" si="41"/>
        <v>1</v>
      </c>
      <c r="Y213" s="18"/>
      <c r="Z213" s="19"/>
    </row>
    <row r="214" spans="1:26" x14ac:dyDescent="0.35">
      <c r="A214" s="29">
        <v>1</v>
      </c>
      <c r="B214" s="1" t="s">
        <v>3619</v>
      </c>
      <c r="C214" s="1"/>
      <c r="D214" s="1" t="s">
        <v>1048</v>
      </c>
      <c r="E214" s="1" t="s">
        <v>1049</v>
      </c>
      <c r="F214" s="1" t="s">
        <v>1050</v>
      </c>
      <c r="G214" s="5" t="s">
        <v>1051</v>
      </c>
      <c r="H214" s="1" t="s">
        <v>17</v>
      </c>
      <c r="I214" s="2">
        <v>46086</v>
      </c>
      <c r="J214" s="33">
        <f t="shared" si="38"/>
        <v>139723</v>
      </c>
      <c r="K214" s="3">
        <v>22304</v>
      </c>
      <c r="L214" s="3">
        <v>105308</v>
      </c>
      <c r="M214" s="3">
        <v>11111</v>
      </c>
      <c r="N214" s="3">
        <v>0</v>
      </c>
      <c r="O214" s="3">
        <v>1000</v>
      </c>
      <c r="P214" s="1" t="s">
        <v>1052</v>
      </c>
      <c r="Q214" s="3">
        <v>200098</v>
      </c>
      <c r="R214" s="25">
        <f t="shared" si="39"/>
        <v>1.4321049505092218</v>
      </c>
      <c r="S214" s="32">
        <f>J214</f>
        <v>139723</v>
      </c>
      <c r="T214" s="3">
        <f t="shared" si="40"/>
        <v>0</v>
      </c>
      <c r="U214" s="1" t="s">
        <v>3615</v>
      </c>
      <c r="V214" s="16">
        <v>1</v>
      </c>
      <c r="W214" s="28">
        <f t="shared" si="42"/>
        <v>1</v>
      </c>
      <c r="X214" s="27">
        <f t="shared" si="41"/>
        <v>1</v>
      </c>
      <c r="Y214" s="18"/>
      <c r="Z214" s="19"/>
    </row>
    <row r="215" spans="1:26" x14ac:dyDescent="0.35">
      <c r="A215" s="29">
        <v>1</v>
      </c>
      <c r="B215" s="1" t="s">
        <v>3619</v>
      </c>
      <c r="C215" s="1"/>
      <c r="D215" s="1" t="s">
        <v>792</v>
      </c>
      <c r="E215" s="1" t="s">
        <v>793</v>
      </c>
      <c r="F215" s="1" t="s">
        <v>794</v>
      </c>
      <c r="G215" s="5" t="s">
        <v>795</v>
      </c>
      <c r="H215" s="1" t="s">
        <v>17</v>
      </c>
      <c r="I215" s="2">
        <v>46086</v>
      </c>
      <c r="J215" s="33">
        <f t="shared" si="38"/>
        <v>101490</v>
      </c>
      <c r="K215" s="3">
        <v>12365</v>
      </c>
      <c r="L215" s="3">
        <v>79792</v>
      </c>
      <c r="M215" s="3">
        <v>8333</v>
      </c>
      <c r="N215" s="3">
        <v>0</v>
      </c>
      <c r="O215" s="3">
        <v>1000</v>
      </c>
      <c r="P215" s="1" t="s">
        <v>796</v>
      </c>
      <c r="Q215" s="3">
        <v>121467</v>
      </c>
      <c r="R215" s="25">
        <f t="shared" si="39"/>
        <v>1.1968371268105231</v>
      </c>
      <c r="S215" s="32">
        <f>J215</f>
        <v>101490</v>
      </c>
      <c r="T215" s="3">
        <f t="shared" si="40"/>
        <v>0</v>
      </c>
      <c r="U215" s="1" t="s">
        <v>3615</v>
      </c>
      <c r="V215" s="16">
        <v>1</v>
      </c>
      <c r="W215" s="28">
        <f t="shared" si="42"/>
        <v>1</v>
      </c>
      <c r="X215" s="27">
        <f t="shared" si="41"/>
        <v>1</v>
      </c>
      <c r="Y215" s="18"/>
      <c r="Z215" s="19"/>
    </row>
    <row r="216" spans="1:26" x14ac:dyDescent="0.35">
      <c r="A216" s="29">
        <v>1</v>
      </c>
      <c r="B216" s="1" t="s">
        <v>3619</v>
      </c>
      <c r="C216" s="1"/>
      <c r="D216" s="1" t="s">
        <v>1153</v>
      </c>
      <c r="E216" s="1" t="s">
        <v>1154</v>
      </c>
      <c r="F216" s="1" t="s">
        <v>1155</v>
      </c>
      <c r="G216" s="5" t="s">
        <v>1156</v>
      </c>
      <c r="H216" s="1" t="s">
        <v>17</v>
      </c>
      <c r="I216" s="2">
        <v>46086</v>
      </c>
      <c r="J216" s="33">
        <f t="shared" si="38"/>
        <v>101013</v>
      </c>
      <c r="K216" s="3">
        <v>22192</v>
      </c>
      <c r="L216" s="3">
        <v>69488</v>
      </c>
      <c r="M216" s="3">
        <v>8333</v>
      </c>
      <c r="N216" s="3">
        <v>0</v>
      </c>
      <c r="O216" s="3">
        <v>1000</v>
      </c>
      <c r="P216" s="1" t="s">
        <v>1157</v>
      </c>
      <c r="Q216" s="3">
        <v>46889</v>
      </c>
      <c r="R216" s="25">
        <f t="shared" si="39"/>
        <v>0.46418777781077686</v>
      </c>
      <c r="S216" s="32">
        <f>Q216</f>
        <v>46889</v>
      </c>
      <c r="T216" s="31">
        <f t="shared" si="40"/>
        <v>-54124</v>
      </c>
      <c r="U216" s="1" t="s">
        <v>3616</v>
      </c>
      <c r="V216" s="16"/>
      <c r="W216" s="30">
        <f t="shared" si="42"/>
        <v>0</v>
      </c>
      <c r="X216" s="27">
        <f t="shared" si="41"/>
        <v>0.46418777781077686</v>
      </c>
      <c r="Y216" s="18"/>
      <c r="Z216" s="19"/>
    </row>
    <row r="217" spans="1:26" x14ac:dyDescent="0.35">
      <c r="A217" s="29">
        <v>1</v>
      </c>
      <c r="B217" s="1" t="s">
        <v>3619</v>
      </c>
      <c r="C217" s="1"/>
      <c r="D217" s="1" t="s">
        <v>802</v>
      </c>
      <c r="E217" s="1" t="s">
        <v>803</v>
      </c>
      <c r="F217" s="1" t="s">
        <v>804</v>
      </c>
      <c r="G217" s="5" t="s">
        <v>805</v>
      </c>
      <c r="H217" s="1" t="s">
        <v>17</v>
      </c>
      <c r="I217" s="2">
        <v>46086</v>
      </c>
      <c r="J217" s="33">
        <f t="shared" si="38"/>
        <v>51007</v>
      </c>
      <c r="K217" s="3">
        <v>12575</v>
      </c>
      <c r="L217" s="3">
        <v>33265</v>
      </c>
      <c r="M217" s="3">
        <v>4167</v>
      </c>
      <c r="N217" s="3">
        <v>0</v>
      </c>
      <c r="O217" s="3">
        <v>1000</v>
      </c>
      <c r="P217" s="1" t="s">
        <v>806</v>
      </c>
      <c r="Q217" s="3">
        <v>6259</v>
      </c>
      <c r="R217" s="25">
        <f t="shared" si="39"/>
        <v>0.12270864783265042</v>
      </c>
      <c r="S217" s="32">
        <f>Q217</f>
        <v>6259</v>
      </c>
      <c r="T217" s="31">
        <f t="shared" si="40"/>
        <v>-44748</v>
      </c>
      <c r="U217" s="1" t="s">
        <v>3616</v>
      </c>
      <c r="V217" s="16"/>
      <c r="W217" s="30">
        <f t="shared" si="42"/>
        <v>0</v>
      </c>
      <c r="X217" s="27">
        <f t="shared" si="41"/>
        <v>0.12270864783265042</v>
      </c>
      <c r="Y217" s="18"/>
      <c r="Z217" s="19"/>
    </row>
    <row r="218" spans="1:26" x14ac:dyDescent="0.35">
      <c r="A218" s="29">
        <v>1</v>
      </c>
      <c r="B218" s="1" t="s">
        <v>3619</v>
      </c>
      <c r="C218" s="1"/>
      <c r="D218" s="1" t="s">
        <v>754</v>
      </c>
      <c r="E218" s="1" t="s">
        <v>755</v>
      </c>
      <c r="F218" s="1" t="s">
        <v>756</v>
      </c>
      <c r="G218" s="5" t="s">
        <v>757</v>
      </c>
      <c r="H218" s="1" t="s">
        <v>32</v>
      </c>
      <c r="I218" s="2">
        <v>46086</v>
      </c>
      <c r="J218" s="33">
        <f t="shared" si="38"/>
        <v>101490</v>
      </c>
      <c r="K218" s="3">
        <v>13520</v>
      </c>
      <c r="L218" s="3">
        <v>78637</v>
      </c>
      <c r="M218" s="3">
        <v>8333</v>
      </c>
      <c r="N218" s="3">
        <v>0</v>
      </c>
      <c r="O218" s="3">
        <v>1000</v>
      </c>
      <c r="P218" s="1" t="s">
        <v>758</v>
      </c>
      <c r="Q218" s="3">
        <v>103665</v>
      </c>
      <c r="R218" s="25">
        <f t="shared" si="39"/>
        <v>1.0214306828258941</v>
      </c>
      <c r="S218" s="32">
        <f>J218</f>
        <v>101490</v>
      </c>
      <c r="T218" s="3">
        <f t="shared" si="40"/>
        <v>0</v>
      </c>
      <c r="U218" s="1" t="s">
        <v>3615</v>
      </c>
      <c r="V218" s="16">
        <v>1</v>
      </c>
      <c r="W218" s="28">
        <f t="shared" si="42"/>
        <v>1</v>
      </c>
      <c r="X218" s="27">
        <f t="shared" si="41"/>
        <v>1</v>
      </c>
      <c r="Y218" s="18"/>
      <c r="Z218" s="19"/>
    </row>
    <row r="219" spans="1:26" x14ac:dyDescent="0.35">
      <c r="A219" s="29">
        <v>1</v>
      </c>
      <c r="B219" s="1" t="s">
        <v>3619</v>
      </c>
      <c r="C219" s="1"/>
      <c r="D219" s="1" t="s">
        <v>717</v>
      </c>
      <c r="E219" s="1" t="s">
        <v>718</v>
      </c>
      <c r="F219" s="1" t="s">
        <v>21</v>
      </c>
      <c r="G219" s="5" t="s">
        <v>719</v>
      </c>
      <c r="H219" s="1" t="s">
        <v>17</v>
      </c>
      <c r="I219" s="2">
        <v>46086</v>
      </c>
      <c r="J219" s="33">
        <f t="shared" ref="J219:J250" si="43">SUM(K219:O219)</f>
        <v>51007</v>
      </c>
      <c r="K219" s="3">
        <v>3636</v>
      </c>
      <c r="L219" s="3">
        <v>42204</v>
      </c>
      <c r="M219" s="3">
        <v>4167</v>
      </c>
      <c r="N219" s="3">
        <v>0</v>
      </c>
      <c r="O219" s="3">
        <v>1000</v>
      </c>
      <c r="P219" s="1" t="s">
        <v>720</v>
      </c>
      <c r="Q219" s="3">
        <v>299458</v>
      </c>
      <c r="R219" s="25">
        <f t="shared" ref="R219:R250" si="44">Q219/J219</f>
        <v>5.8709196776912975</v>
      </c>
      <c r="S219" s="32">
        <f>J219</f>
        <v>51007</v>
      </c>
      <c r="T219" s="3">
        <f t="shared" ref="T219:T250" si="45">S219-J219</f>
        <v>0</v>
      </c>
      <c r="U219" s="1" t="s">
        <v>3615</v>
      </c>
      <c r="V219" s="16">
        <v>1</v>
      </c>
      <c r="W219" s="28">
        <f t="shared" si="42"/>
        <v>1</v>
      </c>
      <c r="X219" s="27">
        <f t="shared" ref="X219:X250" si="46">S219/J219</f>
        <v>1</v>
      </c>
      <c r="Y219" s="18"/>
      <c r="Z219" s="19"/>
    </row>
    <row r="220" spans="1:26" x14ac:dyDescent="0.35">
      <c r="A220" s="29">
        <v>1</v>
      </c>
      <c r="B220" s="1" t="s">
        <v>3619</v>
      </c>
      <c r="C220" s="1"/>
      <c r="D220" s="1" t="s">
        <v>1000</v>
      </c>
      <c r="E220" s="1" t="s">
        <v>1001</v>
      </c>
      <c r="F220" s="1" t="s">
        <v>21</v>
      </c>
      <c r="G220" s="5" t="s">
        <v>1002</v>
      </c>
      <c r="H220" s="1" t="s">
        <v>17</v>
      </c>
      <c r="I220" s="2">
        <v>46086</v>
      </c>
      <c r="J220" s="33">
        <f t="shared" si="43"/>
        <v>101013</v>
      </c>
      <c r="K220" s="3">
        <v>12890</v>
      </c>
      <c r="L220" s="3">
        <v>78790</v>
      </c>
      <c r="M220" s="3">
        <v>8333</v>
      </c>
      <c r="N220" s="3">
        <v>0</v>
      </c>
      <c r="O220" s="3">
        <v>1000</v>
      </c>
      <c r="P220" s="1" t="s">
        <v>1003</v>
      </c>
      <c r="Q220" s="3">
        <v>128087</v>
      </c>
      <c r="R220" s="25">
        <f t="shared" si="44"/>
        <v>1.2680249076851495</v>
      </c>
      <c r="S220" s="32">
        <f>J220</f>
        <v>101013</v>
      </c>
      <c r="T220" s="3">
        <f t="shared" si="45"/>
        <v>0</v>
      </c>
      <c r="U220" s="1" t="s">
        <v>3615</v>
      </c>
      <c r="V220" s="16">
        <v>1</v>
      </c>
      <c r="W220" s="28">
        <f t="shared" si="42"/>
        <v>1</v>
      </c>
      <c r="X220" s="27">
        <f t="shared" si="46"/>
        <v>1</v>
      </c>
      <c r="Y220" s="18"/>
      <c r="Z220" s="19"/>
    </row>
    <row r="221" spans="1:26" x14ac:dyDescent="0.35">
      <c r="A221" s="29">
        <v>1</v>
      </c>
      <c r="B221" s="1" t="s">
        <v>3619</v>
      </c>
      <c r="C221" s="1"/>
      <c r="D221" s="1" t="s">
        <v>1108</v>
      </c>
      <c r="E221" s="1" t="s">
        <v>1109</v>
      </c>
      <c r="F221" s="1" t="s">
        <v>21</v>
      </c>
      <c r="G221" s="5" t="s">
        <v>1110</v>
      </c>
      <c r="H221" s="1" t="s">
        <v>32</v>
      </c>
      <c r="I221" s="2">
        <v>46086</v>
      </c>
      <c r="J221" s="33">
        <f t="shared" si="43"/>
        <v>263027</v>
      </c>
      <c r="K221" s="3">
        <v>38287</v>
      </c>
      <c r="L221" s="3">
        <v>202311</v>
      </c>
      <c r="M221" s="3">
        <v>21429</v>
      </c>
      <c r="N221" s="3">
        <v>0</v>
      </c>
      <c r="O221" s="3">
        <v>1000</v>
      </c>
      <c r="P221" s="1" t="s">
        <v>1111</v>
      </c>
      <c r="Q221" s="3">
        <v>16946</v>
      </c>
      <c r="R221" s="25">
        <f t="shared" si="44"/>
        <v>6.4426845913157199E-2</v>
      </c>
      <c r="S221" s="32">
        <f>Q221</f>
        <v>16946</v>
      </c>
      <c r="T221" s="31">
        <f t="shared" si="45"/>
        <v>-246081</v>
      </c>
      <c r="U221" s="1" t="s">
        <v>3616</v>
      </c>
      <c r="V221" s="16"/>
      <c r="W221" s="30">
        <f t="shared" si="42"/>
        <v>0</v>
      </c>
      <c r="X221" s="27">
        <f t="shared" si="46"/>
        <v>6.4426845913157199E-2</v>
      </c>
      <c r="Y221" s="18"/>
      <c r="Z221" s="19"/>
    </row>
    <row r="222" spans="1:26" x14ac:dyDescent="0.35">
      <c r="A222" s="29">
        <v>1</v>
      </c>
      <c r="B222" s="1" t="s">
        <v>3619</v>
      </c>
      <c r="C222" s="1"/>
      <c r="D222" s="1" t="s">
        <v>1331</v>
      </c>
      <c r="E222" s="1" t="s">
        <v>1332</v>
      </c>
      <c r="F222" s="1" t="s">
        <v>21</v>
      </c>
      <c r="G222" s="5" t="s">
        <v>1333</v>
      </c>
      <c r="H222" s="1" t="s">
        <v>17</v>
      </c>
      <c r="I222" s="2">
        <v>46086</v>
      </c>
      <c r="J222" s="33">
        <f t="shared" si="43"/>
        <v>201027</v>
      </c>
      <c r="K222" s="3">
        <v>16947</v>
      </c>
      <c r="L222" s="3">
        <v>166413</v>
      </c>
      <c r="M222" s="3">
        <v>16667</v>
      </c>
      <c r="N222" s="3">
        <v>0</v>
      </c>
      <c r="O222" s="3">
        <v>1000</v>
      </c>
      <c r="P222" s="1" t="s">
        <v>1334</v>
      </c>
      <c r="Q222" s="3">
        <v>223515</v>
      </c>
      <c r="R222" s="25">
        <f t="shared" si="44"/>
        <v>1.1118655702965274</v>
      </c>
      <c r="S222" s="32">
        <f>J222</f>
        <v>201027</v>
      </c>
      <c r="T222" s="3">
        <f t="shared" si="45"/>
        <v>0</v>
      </c>
      <c r="U222" s="1" t="s">
        <v>3615</v>
      </c>
      <c r="V222" s="16">
        <v>1</v>
      </c>
      <c r="W222" s="28">
        <f t="shared" si="42"/>
        <v>1</v>
      </c>
      <c r="X222" s="27">
        <f t="shared" si="46"/>
        <v>1</v>
      </c>
      <c r="Y222" s="18"/>
      <c r="Z222" s="19"/>
    </row>
    <row r="223" spans="1:26" x14ac:dyDescent="0.35">
      <c r="A223" s="29">
        <v>1</v>
      </c>
      <c r="B223" s="1" t="s">
        <v>3619</v>
      </c>
      <c r="C223" s="1"/>
      <c r="D223" s="1" t="s">
        <v>1189</v>
      </c>
      <c r="E223" s="1" t="s">
        <v>1190</v>
      </c>
      <c r="F223" s="1" t="s">
        <v>1190</v>
      </c>
      <c r="G223" s="5" t="s">
        <v>1191</v>
      </c>
      <c r="H223" s="1" t="s">
        <v>17</v>
      </c>
      <c r="I223" s="2">
        <v>46086</v>
      </c>
      <c r="J223" s="33">
        <f t="shared" si="43"/>
        <v>541524</v>
      </c>
      <c r="K223" s="3">
        <v>41333</v>
      </c>
      <c r="L223" s="3">
        <v>457524</v>
      </c>
      <c r="M223" s="3">
        <v>41667</v>
      </c>
      <c r="N223" s="3">
        <v>0</v>
      </c>
      <c r="O223" s="3">
        <v>1000</v>
      </c>
      <c r="P223" s="1" t="s">
        <v>1192</v>
      </c>
      <c r="Q223" s="3">
        <v>500</v>
      </c>
      <c r="R223" s="25">
        <f t="shared" si="44"/>
        <v>9.2332011138933823E-4</v>
      </c>
      <c r="S223" s="32">
        <f>Q223</f>
        <v>500</v>
      </c>
      <c r="T223" s="31">
        <f t="shared" si="45"/>
        <v>-541024</v>
      </c>
      <c r="U223" s="1" t="s">
        <v>3616</v>
      </c>
      <c r="V223" s="16"/>
      <c r="W223" s="30">
        <f t="shared" si="42"/>
        <v>0</v>
      </c>
      <c r="X223" s="27">
        <f t="shared" si="46"/>
        <v>9.2332011138933823E-4</v>
      </c>
      <c r="Y223" s="18"/>
      <c r="Z223" s="19"/>
    </row>
    <row r="224" spans="1:26" x14ac:dyDescent="0.35">
      <c r="A224" s="29">
        <v>1</v>
      </c>
      <c r="B224" s="1" t="s">
        <v>3619</v>
      </c>
      <c r="C224" s="1"/>
      <c r="D224" s="1" t="s">
        <v>1201</v>
      </c>
      <c r="E224" s="1" t="s">
        <v>1202</v>
      </c>
      <c r="F224" s="1" t="s">
        <v>1202</v>
      </c>
      <c r="G224" s="5" t="s">
        <v>1203</v>
      </c>
      <c r="H224" s="1" t="s">
        <v>32</v>
      </c>
      <c r="I224" s="2">
        <v>46086</v>
      </c>
      <c r="J224" s="33">
        <f t="shared" si="43"/>
        <v>55053</v>
      </c>
      <c r="K224" s="3">
        <v>4782</v>
      </c>
      <c r="L224" s="3">
        <v>45104</v>
      </c>
      <c r="M224" s="3">
        <v>4167</v>
      </c>
      <c r="N224" s="3">
        <v>0</v>
      </c>
      <c r="O224" s="3">
        <v>1000</v>
      </c>
      <c r="P224" s="1" t="s">
        <v>1204</v>
      </c>
      <c r="Q224" s="3">
        <v>241383</v>
      </c>
      <c r="R224" s="25">
        <f t="shared" si="44"/>
        <v>4.3845566999073622</v>
      </c>
      <c r="S224" s="32">
        <f>J224</f>
        <v>55053</v>
      </c>
      <c r="T224" s="3">
        <f t="shared" si="45"/>
        <v>0</v>
      </c>
      <c r="U224" s="1" t="s">
        <v>3615</v>
      </c>
      <c r="V224" s="16">
        <v>1</v>
      </c>
      <c r="W224" s="28">
        <f t="shared" si="42"/>
        <v>1</v>
      </c>
      <c r="X224" s="27">
        <f t="shared" si="46"/>
        <v>1</v>
      </c>
      <c r="Y224" s="18"/>
      <c r="Z224" s="19"/>
    </row>
    <row r="225" spans="1:26" x14ac:dyDescent="0.35">
      <c r="A225" s="29">
        <v>1</v>
      </c>
      <c r="B225" s="1" t="s">
        <v>3619</v>
      </c>
      <c r="C225" s="1"/>
      <c r="D225" s="1" t="s">
        <v>1306</v>
      </c>
      <c r="E225" s="1" t="s">
        <v>1307</v>
      </c>
      <c r="F225" s="1" t="s">
        <v>21</v>
      </c>
      <c r="G225" s="5" t="s">
        <v>1308</v>
      </c>
      <c r="H225" s="1" t="s">
        <v>17</v>
      </c>
      <c r="I225" s="2">
        <v>46086</v>
      </c>
      <c r="J225" s="33">
        <f t="shared" si="43"/>
        <v>503450</v>
      </c>
      <c r="K225" s="3">
        <v>38941</v>
      </c>
      <c r="L225" s="3">
        <v>421842</v>
      </c>
      <c r="M225" s="3">
        <v>41667</v>
      </c>
      <c r="N225" s="3">
        <v>0</v>
      </c>
      <c r="O225" s="3">
        <v>1000</v>
      </c>
      <c r="P225" s="1" t="s">
        <v>1309</v>
      </c>
      <c r="Q225" s="3">
        <v>0</v>
      </c>
      <c r="R225" s="25">
        <f t="shared" si="44"/>
        <v>0</v>
      </c>
      <c r="S225" s="32">
        <f>Q225</f>
        <v>0</v>
      </c>
      <c r="T225" s="31">
        <f t="shared" si="45"/>
        <v>-503450</v>
      </c>
      <c r="U225" s="1" t="s">
        <v>3616</v>
      </c>
      <c r="V225" s="16"/>
      <c r="W225" s="30">
        <f t="shared" si="42"/>
        <v>0</v>
      </c>
      <c r="X225" s="27">
        <f t="shared" si="46"/>
        <v>0</v>
      </c>
      <c r="Y225" s="18"/>
      <c r="Z225" s="19"/>
    </row>
    <row r="226" spans="1:26" x14ac:dyDescent="0.35">
      <c r="A226" s="29">
        <v>1</v>
      </c>
      <c r="B226" s="1" t="s">
        <v>3619</v>
      </c>
      <c r="C226" s="1"/>
      <c r="D226" s="1" t="s">
        <v>1229</v>
      </c>
      <c r="E226" s="1" t="s">
        <v>1230</v>
      </c>
      <c r="F226" s="1" t="s">
        <v>1230</v>
      </c>
      <c r="G226" s="5" t="s">
        <v>1231</v>
      </c>
      <c r="H226" s="1" t="s">
        <v>17</v>
      </c>
      <c r="I226" s="2">
        <v>46086</v>
      </c>
      <c r="J226" s="33">
        <f t="shared" si="43"/>
        <v>270068</v>
      </c>
      <c r="K226" s="3">
        <v>25669</v>
      </c>
      <c r="L226" s="3">
        <v>222566</v>
      </c>
      <c r="M226" s="3">
        <v>20833</v>
      </c>
      <c r="N226" s="3">
        <v>0</v>
      </c>
      <c r="O226" s="3">
        <v>1000</v>
      </c>
      <c r="P226" s="1" t="s">
        <v>1232</v>
      </c>
      <c r="Q226" s="3">
        <v>373769</v>
      </c>
      <c r="R226" s="25">
        <f t="shared" si="44"/>
        <v>1.3839810714338612</v>
      </c>
      <c r="S226" s="32">
        <f>J226</f>
        <v>270068</v>
      </c>
      <c r="T226" s="3">
        <f t="shared" si="45"/>
        <v>0</v>
      </c>
      <c r="U226" s="1" t="s">
        <v>3615</v>
      </c>
      <c r="V226" s="16">
        <v>1</v>
      </c>
      <c r="W226" s="28">
        <f t="shared" si="42"/>
        <v>1</v>
      </c>
      <c r="X226" s="27">
        <f t="shared" si="46"/>
        <v>1</v>
      </c>
      <c r="Y226" s="18"/>
      <c r="Z226" s="19"/>
    </row>
    <row r="227" spans="1:26" x14ac:dyDescent="0.35">
      <c r="A227" s="29">
        <v>1</v>
      </c>
      <c r="B227" s="1" t="s">
        <v>3619</v>
      </c>
      <c r="C227" s="1"/>
      <c r="D227" s="1" t="s">
        <v>708</v>
      </c>
      <c r="E227" s="1" t="s">
        <v>709</v>
      </c>
      <c r="F227" s="1" t="s">
        <v>21</v>
      </c>
      <c r="G227" s="5" t="s">
        <v>710</v>
      </c>
      <c r="H227" s="1" t="s">
        <v>17</v>
      </c>
      <c r="I227" s="2">
        <v>46086</v>
      </c>
      <c r="J227" s="33">
        <f t="shared" si="43"/>
        <v>51007</v>
      </c>
      <c r="K227" s="3">
        <v>3636</v>
      </c>
      <c r="L227" s="3">
        <v>42204</v>
      </c>
      <c r="M227" s="3">
        <v>4167</v>
      </c>
      <c r="N227" s="3">
        <v>0</v>
      </c>
      <c r="O227" s="3">
        <v>1000</v>
      </c>
      <c r="P227" s="1" t="s">
        <v>711</v>
      </c>
      <c r="Q227" s="3">
        <v>0</v>
      </c>
      <c r="R227" s="25">
        <f t="shared" si="44"/>
        <v>0</v>
      </c>
      <c r="S227" s="32">
        <f>Q227</f>
        <v>0</v>
      </c>
      <c r="T227" s="31">
        <f t="shared" si="45"/>
        <v>-51007</v>
      </c>
      <c r="U227" s="1" t="s">
        <v>3616</v>
      </c>
      <c r="V227" s="16"/>
      <c r="W227" s="30">
        <f t="shared" si="42"/>
        <v>0</v>
      </c>
      <c r="X227" s="27">
        <f t="shared" si="46"/>
        <v>0</v>
      </c>
      <c r="Y227" s="18"/>
      <c r="Z227" s="19"/>
    </row>
    <row r="228" spans="1:26" x14ac:dyDescent="0.35">
      <c r="A228" s="29">
        <v>1</v>
      </c>
      <c r="B228" s="1" t="s">
        <v>3619</v>
      </c>
      <c r="C228" s="1"/>
      <c r="D228" s="1" t="s">
        <v>1185</v>
      </c>
      <c r="E228" s="1" t="s">
        <v>1186</v>
      </c>
      <c r="F228" s="1" t="s">
        <v>1186</v>
      </c>
      <c r="G228" s="5" t="s">
        <v>1187</v>
      </c>
      <c r="H228" s="1" t="s">
        <v>17</v>
      </c>
      <c r="I228" s="2">
        <v>46086</v>
      </c>
      <c r="J228" s="33">
        <f t="shared" si="43"/>
        <v>802620</v>
      </c>
      <c r="K228" s="3">
        <v>169004</v>
      </c>
      <c r="L228" s="3">
        <v>575798</v>
      </c>
      <c r="M228" s="3">
        <v>56818</v>
      </c>
      <c r="N228" s="3">
        <v>0</v>
      </c>
      <c r="O228" s="3">
        <v>1000</v>
      </c>
      <c r="P228" s="1" t="s">
        <v>1188</v>
      </c>
      <c r="Q228" s="3">
        <v>283579</v>
      </c>
      <c r="R228" s="25">
        <f t="shared" si="44"/>
        <v>0.35331663801051555</v>
      </c>
      <c r="S228" s="32">
        <f>Q228</f>
        <v>283579</v>
      </c>
      <c r="T228" s="31">
        <f t="shared" si="45"/>
        <v>-519041</v>
      </c>
      <c r="U228" s="1" t="s">
        <v>3616</v>
      </c>
      <c r="V228" s="16"/>
      <c r="W228" s="30">
        <f t="shared" si="42"/>
        <v>0</v>
      </c>
      <c r="X228" s="27">
        <f t="shared" si="46"/>
        <v>0.35331663801051555</v>
      </c>
      <c r="Y228" s="18"/>
      <c r="Z228" s="19"/>
    </row>
    <row r="229" spans="1:26" x14ac:dyDescent="0.35">
      <c r="A229" s="29">
        <v>1</v>
      </c>
      <c r="B229" s="1" t="s">
        <v>3619</v>
      </c>
      <c r="C229" s="1"/>
      <c r="D229" s="1" t="s">
        <v>1197</v>
      </c>
      <c r="E229" s="1" t="s">
        <v>1198</v>
      </c>
      <c r="F229" s="1" t="s">
        <v>1198</v>
      </c>
      <c r="G229" s="5" t="s">
        <v>1199</v>
      </c>
      <c r="H229" s="1" t="s">
        <v>17</v>
      </c>
      <c r="I229" s="2">
        <v>46086</v>
      </c>
      <c r="J229" s="33">
        <f t="shared" si="43"/>
        <v>325314</v>
      </c>
      <c r="K229" s="3">
        <v>24800</v>
      </c>
      <c r="L229" s="3">
        <v>274514</v>
      </c>
      <c r="M229" s="3">
        <v>25000</v>
      </c>
      <c r="N229" s="3">
        <v>0</v>
      </c>
      <c r="O229" s="3">
        <v>1000</v>
      </c>
      <c r="P229" s="1" t="s">
        <v>1200</v>
      </c>
      <c r="Q229" s="3">
        <v>0</v>
      </c>
      <c r="R229" s="25">
        <f t="shared" si="44"/>
        <v>0</v>
      </c>
      <c r="S229" s="32">
        <f>Q229</f>
        <v>0</v>
      </c>
      <c r="T229" s="31">
        <f t="shared" si="45"/>
        <v>-325314</v>
      </c>
      <c r="U229" s="1" t="s">
        <v>3616</v>
      </c>
      <c r="V229" s="16"/>
      <c r="W229" s="30">
        <f t="shared" si="42"/>
        <v>0</v>
      </c>
      <c r="X229" s="27">
        <f t="shared" si="46"/>
        <v>0</v>
      </c>
      <c r="Y229" s="18"/>
      <c r="Z229" s="19"/>
    </row>
    <row r="230" spans="1:26" x14ac:dyDescent="0.35">
      <c r="A230" s="29">
        <v>1</v>
      </c>
      <c r="B230" s="1" t="s">
        <v>3619</v>
      </c>
      <c r="C230" s="1"/>
      <c r="D230" s="1" t="s">
        <v>1193</v>
      </c>
      <c r="E230" s="1" t="s">
        <v>1194</v>
      </c>
      <c r="F230" s="1" t="s">
        <v>1194</v>
      </c>
      <c r="G230" s="5" t="s">
        <v>1195</v>
      </c>
      <c r="H230" s="1" t="s">
        <v>17</v>
      </c>
      <c r="I230" s="2">
        <v>46086</v>
      </c>
      <c r="J230" s="33">
        <f t="shared" si="43"/>
        <v>325314</v>
      </c>
      <c r="K230" s="3">
        <v>24800</v>
      </c>
      <c r="L230" s="3">
        <v>274514</v>
      </c>
      <c r="M230" s="3">
        <v>25000</v>
      </c>
      <c r="N230" s="3">
        <v>0</v>
      </c>
      <c r="O230" s="3">
        <v>1000</v>
      </c>
      <c r="P230" s="1" t="s">
        <v>1196</v>
      </c>
      <c r="Q230" s="3">
        <v>677088</v>
      </c>
      <c r="R230" s="25">
        <f t="shared" si="44"/>
        <v>2.0813368007525037</v>
      </c>
      <c r="S230" s="32">
        <f>J230</f>
        <v>325314</v>
      </c>
      <c r="T230" s="3">
        <f t="shared" si="45"/>
        <v>0</v>
      </c>
      <c r="U230" s="1" t="s">
        <v>3615</v>
      </c>
      <c r="V230" s="16">
        <v>1</v>
      </c>
      <c r="W230" s="28">
        <f t="shared" si="42"/>
        <v>1</v>
      </c>
      <c r="X230" s="27">
        <f t="shared" si="46"/>
        <v>1</v>
      </c>
      <c r="Y230" s="18"/>
      <c r="Z230" s="19"/>
    </row>
    <row r="231" spans="1:26" x14ac:dyDescent="0.35">
      <c r="A231" s="29">
        <v>1</v>
      </c>
      <c r="B231" s="1" t="s">
        <v>3619</v>
      </c>
      <c r="C231" s="1"/>
      <c r="D231" s="1" t="s">
        <v>1310</v>
      </c>
      <c r="E231" s="1" t="s">
        <v>1311</v>
      </c>
      <c r="F231" s="1" t="s">
        <v>21</v>
      </c>
      <c r="G231" s="5" t="s">
        <v>1312</v>
      </c>
      <c r="H231" s="1" t="s">
        <v>17</v>
      </c>
      <c r="I231" s="2">
        <v>46086</v>
      </c>
      <c r="J231" s="33">
        <f t="shared" si="43"/>
        <v>503450</v>
      </c>
      <c r="K231" s="3">
        <v>38941</v>
      </c>
      <c r="L231" s="3">
        <v>421842</v>
      </c>
      <c r="M231" s="3">
        <v>41667</v>
      </c>
      <c r="N231" s="3">
        <v>0</v>
      </c>
      <c r="O231" s="3">
        <v>1000</v>
      </c>
      <c r="P231" s="1" t="s">
        <v>1313</v>
      </c>
      <c r="Q231" s="3">
        <v>505300</v>
      </c>
      <c r="R231" s="24">
        <f t="shared" si="44"/>
        <v>1.0036746449498462</v>
      </c>
      <c r="S231" s="32">
        <f>J231</f>
        <v>503450</v>
      </c>
      <c r="T231" s="31">
        <f t="shared" si="45"/>
        <v>0</v>
      </c>
      <c r="U231" s="1" t="s">
        <v>3615</v>
      </c>
      <c r="V231" s="16"/>
      <c r="W231" s="30">
        <f t="shared" si="42"/>
        <v>0</v>
      </c>
      <c r="X231" s="27">
        <f t="shared" si="46"/>
        <v>1</v>
      </c>
      <c r="Y231" s="18"/>
      <c r="Z231" s="19"/>
    </row>
    <row r="232" spans="1:26" x14ac:dyDescent="0.35">
      <c r="A232" s="29">
        <v>1</v>
      </c>
      <c r="B232" s="1" t="s">
        <v>3619</v>
      </c>
      <c r="C232" s="1"/>
      <c r="D232" s="1" t="s">
        <v>750</v>
      </c>
      <c r="E232" s="1" t="s">
        <v>751</v>
      </c>
      <c r="F232" s="1" t="s">
        <v>21</v>
      </c>
      <c r="G232" s="5" t="s">
        <v>752</v>
      </c>
      <c r="H232" s="1" t="s">
        <v>32</v>
      </c>
      <c r="I232" s="2">
        <v>46086</v>
      </c>
      <c r="J232" s="33">
        <f t="shared" si="43"/>
        <v>101013</v>
      </c>
      <c r="K232" s="3">
        <v>12890</v>
      </c>
      <c r="L232" s="3">
        <v>78790</v>
      </c>
      <c r="M232" s="3">
        <v>8333</v>
      </c>
      <c r="N232" s="3">
        <v>0</v>
      </c>
      <c r="O232" s="3">
        <v>1000</v>
      </c>
      <c r="P232" s="1" t="s">
        <v>753</v>
      </c>
      <c r="Q232" s="3">
        <v>300087</v>
      </c>
      <c r="R232" s="25">
        <f t="shared" si="44"/>
        <v>2.9707760387276885</v>
      </c>
      <c r="S232" s="32">
        <f>J232</f>
        <v>101013</v>
      </c>
      <c r="T232" s="3">
        <f t="shared" si="45"/>
        <v>0</v>
      </c>
      <c r="U232" s="1" t="s">
        <v>3615</v>
      </c>
      <c r="V232" s="16">
        <v>1</v>
      </c>
      <c r="W232" s="28">
        <f t="shared" si="42"/>
        <v>1</v>
      </c>
      <c r="X232" s="27">
        <f t="shared" si="46"/>
        <v>1</v>
      </c>
      <c r="Y232" s="18"/>
      <c r="Z232" s="19"/>
    </row>
    <row r="233" spans="1:26" x14ac:dyDescent="0.35">
      <c r="A233" s="29">
        <v>1</v>
      </c>
      <c r="B233" s="1" t="s">
        <v>3619</v>
      </c>
      <c r="C233" s="1"/>
      <c r="D233" s="1" t="s">
        <v>1213</v>
      </c>
      <c r="E233" s="1" t="s">
        <v>1214</v>
      </c>
      <c r="F233" s="1" t="s">
        <v>1214</v>
      </c>
      <c r="G233" s="5" t="s">
        <v>1215</v>
      </c>
      <c r="H233" s="1" t="s">
        <v>17</v>
      </c>
      <c r="I233" s="2">
        <v>46086</v>
      </c>
      <c r="J233" s="33">
        <f t="shared" si="43"/>
        <v>323882</v>
      </c>
      <c r="K233" s="3">
        <v>27142</v>
      </c>
      <c r="L233" s="3">
        <v>270740</v>
      </c>
      <c r="M233" s="3">
        <v>25000</v>
      </c>
      <c r="N233" s="3">
        <v>0</v>
      </c>
      <c r="O233" s="3">
        <v>1000</v>
      </c>
      <c r="P233" s="1" t="s">
        <v>1216</v>
      </c>
      <c r="Q233" s="3">
        <v>219822</v>
      </c>
      <c r="R233" s="25">
        <f t="shared" si="44"/>
        <v>0.67871014752286329</v>
      </c>
      <c r="S233" s="32">
        <f>Q233</f>
        <v>219822</v>
      </c>
      <c r="T233" s="31">
        <f t="shared" si="45"/>
        <v>-104060</v>
      </c>
      <c r="U233" s="1" t="s">
        <v>3616</v>
      </c>
      <c r="V233" s="16"/>
      <c r="W233" s="30">
        <f t="shared" si="42"/>
        <v>0</v>
      </c>
      <c r="X233" s="27">
        <f t="shared" si="46"/>
        <v>0.67871014752286329</v>
      </c>
      <c r="Y233" s="18"/>
      <c r="Z233" s="19"/>
    </row>
    <row r="234" spans="1:26" x14ac:dyDescent="0.35">
      <c r="A234" s="29">
        <v>1</v>
      </c>
      <c r="B234" s="1" t="s">
        <v>3619</v>
      </c>
      <c r="C234" s="1"/>
      <c r="D234" s="1" t="s">
        <v>1250</v>
      </c>
      <c r="E234" s="1" t="s">
        <v>1251</v>
      </c>
      <c r="F234" s="1" t="s">
        <v>1251</v>
      </c>
      <c r="G234" s="5" t="s">
        <v>1252</v>
      </c>
      <c r="H234" s="1" t="s">
        <v>32</v>
      </c>
      <c r="I234" s="2">
        <v>46086</v>
      </c>
      <c r="J234" s="33">
        <f t="shared" si="43"/>
        <v>100372</v>
      </c>
      <c r="K234" s="3">
        <v>11682</v>
      </c>
      <c r="L234" s="3">
        <v>79998</v>
      </c>
      <c r="M234" s="3">
        <v>7692</v>
      </c>
      <c r="N234" s="3">
        <v>0</v>
      </c>
      <c r="O234" s="3">
        <v>1000</v>
      </c>
      <c r="P234" s="1" t="s">
        <v>1253</v>
      </c>
      <c r="Q234" s="3">
        <v>166469</v>
      </c>
      <c r="R234" s="25">
        <f t="shared" si="44"/>
        <v>1.6585203044673813</v>
      </c>
      <c r="S234" s="32">
        <f>J234</f>
        <v>100372</v>
      </c>
      <c r="T234" s="3">
        <f t="shared" si="45"/>
        <v>0</v>
      </c>
      <c r="U234" s="1" t="s">
        <v>3615</v>
      </c>
      <c r="V234" s="16">
        <v>1</v>
      </c>
      <c r="W234" s="28">
        <f t="shared" si="42"/>
        <v>1</v>
      </c>
      <c r="X234" s="27">
        <f t="shared" si="46"/>
        <v>1</v>
      </c>
      <c r="Y234" s="18"/>
      <c r="Z234" s="19"/>
    </row>
    <row r="235" spans="1:26" x14ac:dyDescent="0.35">
      <c r="A235" s="29">
        <v>1</v>
      </c>
      <c r="B235" s="1" t="s">
        <v>3619</v>
      </c>
      <c r="C235" s="1"/>
      <c r="D235" s="1" t="s">
        <v>1233</v>
      </c>
      <c r="E235" s="1" t="s">
        <v>1234</v>
      </c>
      <c r="F235" s="1" t="s">
        <v>1234</v>
      </c>
      <c r="G235" s="5" t="s">
        <v>1235</v>
      </c>
      <c r="H235" s="1" t="s">
        <v>467</v>
      </c>
      <c r="I235" s="2">
        <v>46086</v>
      </c>
      <c r="J235" s="33">
        <f t="shared" si="43"/>
        <v>213109</v>
      </c>
      <c r="K235" s="3">
        <v>14328</v>
      </c>
      <c r="L235" s="3">
        <v>197781</v>
      </c>
      <c r="M235" s="3">
        <v>0</v>
      </c>
      <c r="N235" s="3">
        <v>0</v>
      </c>
      <c r="O235" s="3">
        <v>1000</v>
      </c>
      <c r="P235" s="1" t="s">
        <v>1236</v>
      </c>
      <c r="Q235" s="3">
        <v>114618</v>
      </c>
      <c r="R235" s="25">
        <f t="shared" si="44"/>
        <v>0.5378374446879296</v>
      </c>
      <c r="S235" s="32">
        <f>Q235</f>
        <v>114618</v>
      </c>
      <c r="T235" s="31">
        <f t="shared" si="45"/>
        <v>-98491</v>
      </c>
      <c r="U235" s="1" t="s">
        <v>3616</v>
      </c>
      <c r="V235" s="16"/>
      <c r="W235" s="30">
        <f t="shared" si="42"/>
        <v>0</v>
      </c>
      <c r="X235" s="27">
        <f t="shared" si="46"/>
        <v>0.5378374446879296</v>
      </c>
      <c r="Y235" s="18"/>
      <c r="Z235" s="19"/>
    </row>
    <row r="236" spans="1:26" x14ac:dyDescent="0.35">
      <c r="A236" s="29">
        <v>1</v>
      </c>
      <c r="B236" s="1" t="s">
        <v>3619</v>
      </c>
      <c r="C236" s="1"/>
      <c r="D236" s="1" t="s">
        <v>1318</v>
      </c>
      <c r="E236" s="1" t="s">
        <v>1319</v>
      </c>
      <c r="F236" s="1" t="s">
        <v>21</v>
      </c>
      <c r="G236" s="5" t="s">
        <v>1320</v>
      </c>
      <c r="H236" s="1" t="s">
        <v>17</v>
      </c>
      <c r="I236" s="2">
        <v>46086</v>
      </c>
      <c r="J236" s="33">
        <f t="shared" si="43"/>
        <v>201027</v>
      </c>
      <c r="K236" s="3">
        <v>14559</v>
      </c>
      <c r="L236" s="3">
        <v>168801</v>
      </c>
      <c r="M236" s="3">
        <v>16667</v>
      </c>
      <c r="N236" s="3">
        <v>0</v>
      </c>
      <c r="O236" s="3">
        <v>1000</v>
      </c>
      <c r="P236" s="1" t="s">
        <v>1321</v>
      </c>
      <c r="Q236" s="3">
        <v>222788</v>
      </c>
      <c r="R236" s="25">
        <f t="shared" si="44"/>
        <v>1.1082491406626971</v>
      </c>
      <c r="S236" s="32">
        <f>J236</f>
        <v>201027</v>
      </c>
      <c r="T236" s="3">
        <f t="shared" si="45"/>
        <v>0</v>
      </c>
      <c r="U236" s="1" t="s">
        <v>3615</v>
      </c>
      <c r="V236" s="16">
        <v>1</v>
      </c>
      <c r="W236" s="28">
        <f t="shared" si="42"/>
        <v>1</v>
      </c>
      <c r="X236" s="27">
        <f t="shared" si="46"/>
        <v>1</v>
      </c>
      <c r="Y236" s="18"/>
      <c r="Z236" s="19"/>
    </row>
    <row r="237" spans="1:26" x14ac:dyDescent="0.35">
      <c r="A237" s="29">
        <v>1</v>
      </c>
      <c r="B237" s="1" t="s">
        <v>3619</v>
      </c>
      <c r="C237" s="1"/>
      <c r="D237" s="1" t="s">
        <v>971</v>
      </c>
      <c r="E237" s="1" t="s">
        <v>972</v>
      </c>
      <c r="F237" s="1" t="s">
        <v>21</v>
      </c>
      <c r="G237" s="5" t="s">
        <v>973</v>
      </c>
      <c r="H237" s="1" t="s">
        <v>17</v>
      </c>
      <c r="I237" s="2">
        <v>46086</v>
      </c>
      <c r="J237" s="33">
        <f t="shared" si="43"/>
        <v>101490</v>
      </c>
      <c r="K237" s="3">
        <v>7690</v>
      </c>
      <c r="L237" s="3">
        <v>84467</v>
      </c>
      <c r="M237" s="3">
        <v>8333</v>
      </c>
      <c r="N237" s="3">
        <v>0</v>
      </c>
      <c r="O237" s="3">
        <v>1000</v>
      </c>
      <c r="P237" s="1" t="s">
        <v>974</v>
      </c>
      <c r="Q237" s="3">
        <v>3510</v>
      </c>
      <c r="R237" s="25">
        <f t="shared" si="44"/>
        <v>3.458468814661543E-2</v>
      </c>
      <c r="S237" s="32">
        <f>Q237</f>
        <v>3510</v>
      </c>
      <c r="T237" s="31">
        <f t="shared" si="45"/>
        <v>-97980</v>
      </c>
      <c r="U237" s="1" t="s">
        <v>3616</v>
      </c>
      <c r="V237" s="16"/>
      <c r="W237" s="30">
        <f t="shared" si="42"/>
        <v>0</v>
      </c>
      <c r="X237" s="27">
        <f t="shared" si="46"/>
        <v>3.458468814661543E-2</v>
      </c>
      <c r="Y237" s="18"/>
      <c r="Z237" s="19"/>
    </row>
    <row r="238" spans="1:26" x14ac:dyDescent="0.35">
      <c r="A238" s="29">
        <v>1</v>
      </c>
      <c r="B238" s="1" t="s">
        <v>3619</v>
      </c>
      <c r="C238" s="1"/>
      <c r="D238" s="1" t="s">
        <v>1314</v>
      </c>
      <c r="E238" s="1" t="s">
        <v>1315</v>
      </c>
      <c r="F238" s="1" t="s">
        <v>21</v>
      </c>
      <c r="G238" s="5" t="s">
        <v>1316</v>
      </c>
      <c r="H238" s="1" t="s">
        <v>32</v>
      </c>
      <c r="I238" s="2">
        <v>46086</v>
      </c>
      <c r="J238" s="33">
        <f t="shared" si="43"/>
        <v>51245</v>
      </c>
      <c r="K238" s="3">
        <v>3882</v>
      </c>
      <c r="L238" s="3">
        <v>42196</v>
      </c>
      <c r="M238" s="3">
        <v>4167</v>
      </c>
      <c r="N238" s="3">
        <v>0</v>
      </c>
      <c r="O238" s="3">
        <v>1000</v>
      </c>
      <c r="P238" s="1" t="s">
        <v>1317</v>
      </c>
      <c r="Q238" s="3">
        <v>28868</v>
      </c>
      <c r="R238" s="25">
        <f t="shared" si="44"/>
        <v>0.56333300809835107</v>
      </c>
      <c r="S238" s="32">
        <f>Q238</f>
        <v>28868</v>
      </c>
      <c r="T238" s="31">
        <f t="shared" si="45"/>
        <v>-22377</v>
      </c>
      <c r="U238" s="1" t="s">
        <v>3616</v>
      </c>
      <c r="V238" s="16"/>
      <c r="W238" s="30">
        <f t="shared" si="42"/>
        <v>0</v>
      </c>
      <c r="X238" s="27">
        <f t="shared" si="46"/>
        <v>0.56333300809835107</v>
      </c>
      <c r="Y238" s="18"/>
      <c r="Z238" s="19"/>
    </row>
    <row r="239" spans="1:26" x14ac:dyDescent="0.35">
      <c r="A239" s="29">
        <v>1</v>
      </c>
      <c r="B239" s="1" t="s">
        <v>3619</v>
      </c>
      <c r="C239" s="1"/>
      <c r="D239" s="1" t="s">
        <v>725</v>
      </c>
      <c r="E239" s="1" t="s">
        <v>726</v>
      </c>
      <c r="F239" s="1" t="s">
        <v>21</v>
      </c>
      <c r="G239" s="5" t="s">
        <v>727</v>
      </c>
      <c r="H239" s="1" t="s">
        <v>17</v>
      </c>
      <c r="I239" s="2">
        <v>46086</v>
      </c>
      <c r="J239" s="33">
        <f t="shared" si="43"/>
        <v>51007</v>
      </c>
      <c r="K239" s="3">
        <v>3632</v>
      </c>
      <c r="L239" s="3">
        <v>42208</v>
      </c>
      <c r="M239" s="3">
        <v>4167</v>
      </c>
      <c r="N239" s="3">
        <v>0</v>
      </c>
      <c r="O239" s="3">
        <v>1000</v>
      </c>
      <c r="P239" s="1" t="s">
        <v>728</v>
      </c>
      <c r="Q239" s="3">
        <v>55000</v>
      </c>
      <c r="R239" s="25">
        <f t="shared" si="44"/>
        <v>1.0782833728703904</v>
      </c>
      <c r="S239" s="32">
        <f>J239</f>
        <v>51007</v>
      </c>
      <c r="T239" s="3">
        <f t="shared" si="45"/>
        <v>0</v>
      </c>
      <c r="U239" s="1" t="s">
        <v>3615</v>
      </c>
      <c r="V239" s="16">
        <v>1</v>
      </c>
      <c r="W239" s="28">
        <f t="shared" si="42"/>
        <v>1</v>
      </c>
      <c r="X239" s="27">
        <f t="shared" si="46"/>
        <v>1</v>
      </c>
      <c r="Y239" s="18"/>
      <c r="Z239" s="19"/>
    </row>
    <row r="240" spans="1:26" x14ac:dyDescent="0.35">
      <c r="A240" s="29">
        <v>1</v>
      </c>
      <c r="B240" s="1" t="s">
        <v>3619</v>
      </c>
      <c r="C240" s="1"/>
      <c r="D240" s="1" t="s">
        <v>827</v>
      </c>
      <c r="E240" s="1" t="s">
        <v>828</v>
      </c>
      <c r="F240" s="1" t="s">
        <v>21</v>
      </c>
      <c r="G240" s="5" t="s">
        <v>829</v>
      </c>
      <c r="H240" s="1" t="s">
        <v>17</v>
      </c>
      <c r="I240" s="2">
        <v>46086</v>
      </c>
      <c r="J240" s="33">
        <f t="shared" si="43"/>
        <v>51007</v>
      </c>
      <c r="K240" s="3">
        <v>4211</v>
      </c>
      <c r="L240" s="3">
        <v>41629</v>
      </c>
      <c r="M240" s="3">
        <v>4167</v>
      </c>
      <c r="N240" s="3">
        <v>0</v>
      </c>
      <c r="O240" s="3">
        <v>1000</v>
      </c>
      <c r="P240" s="1" t="s">
        <v>830</v>
      </c>
      <c r="Q240" s="3">
        <v>71365</v>
      </c>
      <c r="R240" s="25">
        <f t="shared" si="44"/>
        <v>1.3991216891799165</v>
      </c>
      <c r="S240" s="32">
        <f>J240</f>
        <v>51007</v>
      </c>
      <c r="T240" s="3">
        <f t="shared" si="45"/>
        <v>0</v>
      </c>
      <c r="U240" s="1" t="s">
        <v>3615</v>
      </c>
      <c r="V240" s="16">
        <v>1</v>
      </c>
      <c r="W240" s="28">
        <f t="shared" si="42"/>
        <v>1</v>
      </c>
      <c r="X240" s="27">
        <f t="shared" si="46"/>
        <v>1</v>
      </c>
      <c r="Y240" s="18"/>
      <c r="Z240" s="19"/>
    </row>
    <row r="241" spans="1:26" x14ac:dyDescent="0.35">
      <c r="A241" s="29">
        <v>1</v>
      </c>
      <c r="B241" s="1" t="s">
        <v>3619</v>
      </c>
      <c r="C241" s="1"/>
      <c r="D241" s="1" t="s">
        <v>975</v>
      </c>
      <c r="E241" s="1" t="s">
        <v>976</v>
      </c>
      <c r="F241" s="1" t="s">
        <v>21</v>
      </c>
      <c r="G241" s="5" t="s">
        <v>977</v>
      </c>
      <c r="H241" s="1" t="s">
        <v>17</v>
      </c>
      <c r="I241" s="2">
        <v>46086</v>
      </c>
      <c r="J241" s="33">
        <f t="shared" si="43"/>
        <v>101013</v>
      </c>
      <c r="K241" s="3">
        <v>7331</v>
      </c>
      <c r="L241" s="3">
        <v>84349</v>
      </c>
      <c r="M241" s="3">
        <v>8333</v>
      </c>
      <c r="N241" s="3">
        <v>0</v>
      </c>
      <c r="O241" s="3">
        <v>1000</v>
      </c>
      <c r="P241" s="1" t="s">
        <v>978</v>
      </c>
      <c r="Q241" s="3">
        <v>157922</v>
      </c>
      <c r="R241" s="25">
        <f t="shared" si="44"/>
        <v>1.5633829309098828</v>
      </c>
      <c r="S241" s="32">
        <f>J241</f>
        <v>101013</v>
      </c>
      <c r="T241" s="3">
        <f t="shared" si="45"/>
        <v>0</v>
      </c>
      <c r="U241" s="1" t="s">
        <v>3615</v>
      </c>
      <c r="V241" s="16">
        <v>1</v>
      </c>
      <c r="W241" s="28">
        <f t="shared" si="42"/>
        <v>1</v>
      </c>
      <c r="X241" s="27">
        <f t="shared" si="46"/>
        <v>1</v>
      </c>
      <c r="Y241" s="18"/>
      <c r="Z241" s="19"/>
    </row>
    <row r="242" spans="1:26" x14ac:dyDescent="0.35">
      <c r="A242" s="29">
        <v>1</v>
      </c>
      <c r="B242" s="1" t="s">
        <v>3619</v>
      </c>
      <c r="C242" s="1"/>
      <c r="D242" s="1" t="s">
        <v>1322</v>
      </c>
      <c r="E242" s="1" t="s">
        <v>1323</v>
      </c>
      <c r="F242" s="1" t="s">
        <v>21</v>
      </c>
      <c r="G242" s="5" t="s">
        <v>1324</v>
      </c>
      <c r="H242" s="1" t="s">
        <v>17</v>
      </c>
      <c r="I242" s="2">
        <v>46086</v>
      </c>
      <c r="J242" s="33">
        <f t="shared" si="43"/>
        <v>201980</v>
      </c>
      <c r="K242" s="3">
        <v>15347</v>
      </c>
      <c r="L242" s="3">
        <v>168966</v>
      </c>
      <c r="M242" s="3">
        <v>16667</v>
      </c>
      <c r="N242" s="3">
        <v>0</v>
      </c>
      <c r="O242" s="3">
        <v>1000</v>
      </c>
      <c r="P242" s="1" t="s">
        <v>1325</v>
      </c>
      <c r="Q242" s="3">
        <v>36899</v>
      </c>
      <c r="R242" s="25">
        <f t="shared" si="44"/>
        <v>0.1826864045945143</v>
      </c>
      <c r="S242" s="32">
        <f>Q242</f>
        <v>36899</v>
      </c>
      <c r="T242" s="31">
        <f t="shared" si="45"/>
        <v>-165081</v>
      </c>
      <c r="U242" s="1" t="s">
        <v>3616</v>
      </c>
      <c r="V242" s="16"/>
      <c r="W242" s="30">
        <f t="shared" si="42"/>
        <v>0</v>
      </c>
      <c r="X242" s="27">
        <f t="shared" si="46"/>
        <v>0.1826864045945143</v>
      </c>
      <c r="Y242" s="18"/>
      <c r="Z242" s="19"/>
    </row>
    <row r="243" spans="1:26" x14ac:dyDescent="0.35">
      <c r="A243" s="29">
        <v>1</v>
      </c>
      <c r="B243" s="1" t="s">
        <v>3619</v>
      </c>
      <c r="C243" s="1"/>
      <c r="D243" s="1" t="s">
        <v>721</v>
      </c>
      <c r="E243" s="1" t="s">
        <v>722</v>
      </c>
      <c r="F243" s="1" t="s">
        <v>21</v>
      </c>
      <c r="G243" s="5" t="s">
        <v>723</v>
      </c>
      <c r="H243" s="1" t="s">
        <v>17</v>
      </c>
      <c r="I243" s="2">
        <v>46086</v>
      </c>
      <c r="J243" s="33">
        <f t="shared" si="43"/>
        <v>51007</v>
      </c>
      <c r="K243" s="3">
        <v>3636</v>
      </c>
      <c r="L243" s="3">
        <v>42204</v>
      </c>
      <c r="M243" s="3">
        <v>4167</v>
      </c>
      <c r="N243" s="3">
        <v>0</v>
      </c>
      <c r="O243" s="3">
        <v>1000</v>
      </c>
      <c r="P243" s="1" t="s">
        <v>724</v>
      </c>
      <c r="Q243" s="3">
        <v>7487</v>
      </c>
      <c r="R243" s="25">
        <f t="shared" si="44"/>
        <v>0.14678377477601112</v>
      </c>
      <c r="S243" s="32">
        <f>Q243</f>
        <v>7487</v>
      </c>
      <c r="T243" s="31">
        <f t="shared" si="45"/>
        <v>-43520</v>
      </c>
      <c r="U243" s="1" t="s">
        <v>3616</v>
      </c>
      <c r="V243" s="16"/>
      <c r="W243" s="30">
        <f t="shared" si="42"/>
        <v>0</v>
      </c>
      <c r="X243" s="27">
        <f t="shared" si="46"/>
        <v>0.14678377477601112</v>
      </c>
      <c r="Y243" s="18"/>
      <c r="Z243" s="19"/>
    </row>
    <row r="244" spans="1:26" x14ac:dyDescent="0.35">
      <c r="A244" s="29">
        <v>1</v>
      </c>
      <c r="B244" s="1" t="s">
        <v>3619</v>
      </c>
      <c r="C244" s="1"/>
      <c r="D244" s="1" t="s">
        <v>733</v>
      </c>
      <c r="E244" s="1" t="s">
        <v>734</v>
      </c>
      <c r="F244" s="1" t="s">
        <v>21</v>
      </c>
      <c r="G244" s="5" t="s">
        <v>735</v>
      </c>
      <c r="H244" s="1" t="s">
        <v>32</v>
      </c>
      <c r="I244" s="2">
        <v>46086</v>
      </c>
      <c r="J244" s="33">
        <f t="shared" si="43"/>
        <v>347417</v>
      </c>
      <c r="K244" s="3">
        <v>58421</v>
      </c>
      <c r="L244" s="3">
        <v>262996</v>
      </c>
      <c r="M244" s="3">
        <v>25000</v>
      </c>
      <c r="N244" s="3">
        <v>0</v>
      </c>
      <c r="O244" s="3">
        <v>1000</v>
      </c>
      <c r="P244" s="1" t="s">
        <v>736</v>
      </c>
      <c r="Q244" s="3">
        <v>116473</v>
      </c>
      <c r="R244" s="25">
        <f t="shared" si="44"/>
        <v>0.33525417581753342</v>
      </c>
      <c r="S244" s="32">
        <f>Q244</f>
        <v>116473</v>
      </c>
      <c r="T244" s="31">
        <f t="shared" si="45"/>
        <v>-230944</v>
      </c>
      <c r="U244" s="1" t="s">
        <v>3616</v>
      </c>
      <c r="V244" s="16"/>
      <c r="W244" s="30">
        <f t="shared" si="42"/>
        <v>0</v>
      </c>
      <c r="X244" s="27">
        <f t="shared" si="46"/>
        <v>0.33525417581753342</v>
      </c>
      <c r="Y244" s="18"/>
      <c r="Z244" s="19"/>
    </row>
    <row r="245" spans="1:26" x14ac:dyDescent="0.35">
      <c r="A245" s="29">
        <v>1</v>
      </c>
      <c r="B245" s="1" t="s">
        <v>3619</v>
      </c>
      <c r="C245" s="1"/>
      <c r="D245" s="1" t="s">
        <v>851</v>
      </c>
      <c r="E245" s="1" t="s">
        <v>852</v>
      </c>
      <c r="F245" s="1" t="s">
        <v>21</v>
      </c>
      <c r="G245" s="5" t="s">
        <v>853</v>
      </c>
      <c r="H245" s="1" t="s">
        <v>17</v>
      </c>
      <c r="I245" s="2">
        <v>46086</v>
      </c>
      <c r="J245" s="33">
        <f t="shared" si="43"/>
        <v>42616</v>
      </c>
      <c r="K245" s="3">
        <v>6713</v>
      </c>
      <c r="L245" s="3">
        <v>31570</v>
      </c>
      <c r="M245" s="3">
        <v>3333</v>
      </c>
      <c r="N245" s="3">
        <v>0</v>
      </c>
      <c r="O245" s="3">
        <v>1000</v>
      </c>
      <c r="P245" s="1" t="s">
        <v>854</v>
      </c>
      <c r="Q245" s="3">
        <v>378536</v>
      </c>
      <c r="R245" s="25">
        <f t="shared" si="44"/>
        <v>8.8824854514736256</v>
      </c>
      <c r="S245" s="32">
        <f>J245</f>
        <v>42616</v>
      </c>
      <c r="T245" s="3">
        <f t="shared" si="45"/>
        <v>0</v>
      </c>
      <c r="U245" s="1" t="s">
        <v>3615</v>
      </c>
      <c r="V245" s="16">
        <v>1</v>
      </c>
      <c r="W245" s="28">
        <f t="shared" si="42"/>
        <v>1</v>
      </c>
      <c r="X245" s="27">
        <f t="shared" si="46"/>
        <v>1</v>
      </c>
      <c r="Y245" s="18"/>
      <c r="Z245" s="19"/>
    </row>
    <row r="246" spans="1:26" x14ac:dyDescent="0.35">
      <c r="A246" s="29">
        <v>1</v>
      </c>
      <c r="B246" s="1" t="s">
        <v>3619</v>
      </c>
      <c r="C246" s="1"/>
      <c r="D246" s="1" t="s">
        <v>1343</v>
      </c>
      <c r="E246" s="1" t="s">
        <v>1344</v>
      </c>
      <c r="F246" s="1" t="s">
        <v>21</v>
      </c>
      <c r="G246" s="5" t="s">
        <v>1345</v>
      </c>
      <c r="H246" s="1" t="s">
        <v>17</v>
      </c>
      <c r="I246" s="2">
        <v>46086</v>
      </c>
      <c r="J246" s="33">
        <f t="shared" si="43"/>
        <v>401053</v>
      </c>
      <c r="K246" s="3">
        <v>37995</v>
      </c>
      <c r="L246" s="3">
        <v>328725</v>
      </c>
      <c r="M246" s="3">
        <v>33333</v>
      </c>
      <c r="N246" s="3">
        <v>0</v>
      </c>
      <c r="O246" s="3">
        <v>1000</v>
      </c>
      <c r="P246" s="1" t="s">
        <v>1346</v>
      </c>
      <c r="Q246" s="3">
        <v>1000</v>
      </c>
      <c r="R246" s="25">
        <f t="shared" si="44"/>
        <v>2.4934360296519414E-3</v>
      </c>
      <c r="S246" s="32">
        <f>Q246</f>
        <v>1000</v>
      </c>
      <c r="T246" s="31">
        <f t="shared" si="45"/>
        <v>-400053</v>
      </c>
      <c r="U246" s="1" t="s">
        <v>3616</v>
      </c>
      <c r="V246" s="16"/>
      <c r="W246" s="30">
        <f t="shared" si="42"/>
        <v>0</v>
      </c>
      <c r="X246" s="27">
        <f t="shared" si="46"/>
        <v>2.4934360296519414E-3</v>
      </c>
      <c r="Y246" s="18"/>
      <c r="Z246" s="19"/>
    </row>
    <row r="247" spans="1:26" x14ac:dyDescent="0.35">
      <c r="A247" s="29">
        <v>1</v>
      </c>
      <c r="B247" s="1" t="s">
        <v>3619</v>
      </c>
      <c r="C247" s="1"/>
      <c r="D247" s="1" t="s">
        <v>729</v>
      </c>
      <c r="E247" s="1" t="s">
        <v>730</v>
      </c>
      <c r="F247" s="1" t="s">
        <v>21</v>
      </c>
      <c r="G247" s="5" t="s">
        <v>731</v>
      </c>
      <c r="H247" s="1" t="s">
        <v>17</v>
      </c>
      <c r="I247" s="2">
        <v>46086</v>
      </c>
      <c r="J247" s="33">
        <f t="shared" si="43"/>
        <v>71009</v>
      </c>
      <c r="K247" s="3">
        <v>5085</v>
      </c>
      <c r="L247" s="3">
        <v>59091</v>
      </c>
      <c r="M247" s="3">
        <v>5833</v>
      </c>
      <c r="N247" s="3">
        <v>0</v>
      </c>
      <c r="O247" s="3">
        <v>1000</v>
      </c>
      <c r="P247" s="1" t="s">
        <v>732</v>
      </c>
      <c r="Q247" s="3">
        <v>82418</v>
      </c>
      <c r="R247" s="25">
        <f t="shared" si="44"/>
        <v>1.1606697742539678</v>
      </c>
      <c r="S247" s="32">
        <f>J247</f>
        <v>71009</v>
      </c>
      <c r="T247" s="3">
        <f t="shared" si="45"/>
        <v>0</v>
      </c>
      <c r="U247" s="1" t="s">
        <v>3615</v>
      </c>
      <c r="V247" s="16">
        <v>1</v>
      </c>
      <c r="W247" s="28">
        <f t="shared" si="42"/>
        <v>1</v>
      </c>
      <c r="X247" s="27">
        <f t="shared" si="46"/>
        <v>1</v>
      </c>
      <c r="Y247" s="18"/>
      <c r="Z247" s="19"/>
    </row>
    <row r="248" spans="1:26" x14ac:dyDescent="0.35">
      <c r="A248" s="29">
        <v>1</v>
      </c>
      <c r="B248" s="1" t="s">
        <v>3619</v>
      </c>
      <c r="C248" s="1"/>
      <c r="D248" s="1" t="s">
        <v>1335</v>
      </c>
      <c r="E248" s="1" t="s">
        <v>1336</v>
      </c>
      <c r="F248" s="1" t="s">
        <v>21</v>
      </c>
      <c r="G248" s="5" t="s">
        <v>1337</v>
      </c>
      <c r="H248" s="1" t="s">
        <v>17</v>
      </c>
      <c r="I248" s="2">
        <v>46086</v>
      </c>
      <c r="J248" s="33">
        <f t="shared" si="43"/>
        <v>503450</v>
      </c>
      <c r="K248" s="3">
        <v>50496</v>
      </c>
      <c r="L248" s="3">
        <v>410287</v>
      </c>
      <c r="M248" s="3">
        <v>41667</v>
      </c>
      <c r="N248" s="3">
        <v>0</v>
      </c>
      <c r="O248" s="3">
        <v>1000</v>
      </c>
      <c r="P248" s="1" t="s">
        <v>1338</v>
      </c>
      <c r="Q248" s="3">
        <v>42200</v>
      </c>
      <c r="R248" s="25">
        <f t="shared" si="44"/>
        <v>8.3821630747839909E-2</v>
      </c>
      <c r="S248" s="32">
        <f>Q248</f>
        <v>42200</v>
      </c>
      <c r="T248" s="31">
        <f t="shared" si="45"/>
        <v>-461250</v>
      </c>
      <c r="U248" s="1" t="s">
        <v>3616</v>
      </c>
      <c r="V248" s="16"/>
      <c r="W248" s="30">
        <f t="shared" si="42"/>
        <v>0</v>
      </c>
      <c r="X248" s="27">
        <f t="shared" si="46"/>
        <v>8.3821630747839909E-2</v>
      </c>
      <c r="Y248" s="18"/>
      <c r="Z248" s="19"/>
    </row>
    <row r="249" spans="1:26" x14ac:dyDescent="0.35">
      <c r="A249" s="29">
        <v>1</v>
      </c>
      <c r="B249" s="1" t="s">
        <v>3619</v>
      </c>
      <c r="C249" s="1"/>
      <c r="D249" s="1" t="s">
        <v>742</v>
      </c>
      <c r="E249" s="1" t="s">
        <v>743</v>
      </c>
      <c r="F249" s="1" t="s">
        <v>21</v>
      </c>
      <c r="G249" s="5" t="s">
        <v>744</v>
      </c>
      <c r="H249" s="1" t="s">
        <v>17</v>
      </c>
      <c r="I249" s="2">
        <v>46086</v>
      </c>
      <c r="J249" s="33">
        <f t="shared" si="43"/>
        <v>101013</v>
      </c>
      <c r="K249" s="3">
        <v>8423</v>
      </c>
      <c r="L249" s="3">
        <v>83257</v>
      </c>
      <c r="M249" s="3">
        <v>8333</v>
      </c>
      <c r="N249" s="3">
        <v>0</v>
      </c>
      <c r="O249" s="3">
        <v>1000</v>
      </c>
      <c r="P249" s="1" t="s">
        <v>745</v>
      </c>
      <c r="Q249" s="3">
        <v>129935</v>
      </c>
      <c r="R249" s="25">
        <f t="shared" si="44"/>
        <v>1.2863195826279785</v>
      </c>
      <c r="S249" s="32">
        <f>J249</f>
        <v>101013</v>
      </c>
      <c r="T249" s="3">
        <f t="shared" si="45"/>
        <v>0</v>
      </c>
      <c r="U249" s="1" t="s">
        <v>3615</v>
      </c>
      <c r="V249" s="16">
        <v>1</v>
      </c>
      <c r="W249" s="28">
        <f t="shared" si="42"/>
        <v>1</v>
      </c>
      <c r="X249" s="27">
        <f t="shared" si="46"/>
        <v>1</v>
      </c>
      <c r="Y249" s="18"/>
      <c r="Z249" s="19"/>
    </row>
    <row r="250" spans="1:26" x14ac:dyDescent="0.35">
      <c r="A250" s="29">
        <v>1</v>
      </c>
      <c r="B250" s="1" t="s">
        <v>3619</v>
      </c>
      <c r="C250" s="1"/>
      <c r="D250" s="1" t="s">
        <v>1205</v>
      </c>
      <c r="E250" s="1" t="s">
        <v>1206</v>
      </c>
      <c r="F250" s="1" t="s">
        <v>1206</v>
      </c>
      <c r="G250" s="5" t="s">
        <v>1207</v>
      </c>
      <c r="H250" s="1" t="s">
        <v>17</v>
      </c>
      <c r="I250" s="2">
        <v>46086</v>
      </c>
      <c r="J250" s="33">
        <f t="shared" si="43"/>
        <v>217210</v>
      </c>
      <c r="K250" s="3">
        <v>19130</v>
      </c>
      <c r="L250" s="3">
        <v>180413</v>
      </c>
      <c r="M250" s="3">
        <v>16667</v>
      </c>
      <c r="N250" s="3">
        <v>0</v>
      </c>
      <c r="O250" s="3">
        <v>1000</v>
      </c>
      <c r="P250" s="1" t="s">
        <v>1208</v>
      </c>
      <c r="Q250" s="3">
        <v>500</v>
      </c>
      <c r="R250" s="25">
        <f t="shared" si="44"/>
        <v>2.3019198011141294E-3</v>
      </c>
      <c r="S250" s="32">
        <f>Q250</f>
        <v>500</v>
      </c>
      <c r="T250" s="31">
        <f t="shared" si="45"/>
        <v>-216710</v>
      </c>
      <c r="U250" s="1" t="s">
        <v>3616</v>
      </c>
      <c r="V250" s="16"/>
      <c r="W250" s="30">
        <f t="shared" si="42"/>
        <v>0</v>
      </c>
      <c r="X250" s="27">
        <f t="shared" si="46"/>
        <v>2.3019198011141294E-3</v>
      </c>
      <c r="Y250" s="18"/>
      <c r="Z250" s="19"/>
    </row>
    <row r="251" spans="1:26" x14ac:dyDescent="0.35">
      <c r="A251" s="29">
        <v>1</v>
      </c>
      <c r="B251" s="1" t="s">
        <v>3619</v>
      </c>
      <c r="C251" s="1"/>
      <c r="D251" s="1" t="s">
        <v>1104</v>
      </c>
      <c r="E251" s="1" t="s">
        <v>1105</v>
      </c>
      <c r="F251" s="1" t="s">
        <v>21</v>
      </c>
      <c r="G251" s="5" t="s">
        <v>1106</v>
      </c>
      <c r="H251" s="1" t="s">
        <v>17</v>
      </c>
      <c r="I251" s="2">
        <v>46086</v>
      </c>
      <c r="J251" s="33">
        <f t="shared" ref="J251:J282" si="47">SUM(K251:O251)</f>
        <v>1103821</v>
      </c>
      <c r="K251" s="3">
        <v>148443</v>
      </c>
      <c r="L251" s="3">
        <v>863469</v>
      </c>
      <c r="M251" s="3">
        <v>90909</v>
      </c>
      <c r="N251" s="3">
        <v>0</v>
      </c>
      <c r="O251" s="3">
        <v>1000</v>
      </c>
      <c r="P251" s="1" t="s">
        <v>1107</v>
      </c>
      <c r="Q251" s="3">
        <v>12279</v>
      </c>
      <c r="R251" s="25">
        <f t="shared" ref="R251:R282" si="48">Q251/J251</f>
        <v>1.1124086242243987E-2</v>
      </c>
      <c r="S251" s="32">
        <f>Q251</f>
        <v>12279</v>
      </c>
      <c r="T251" s="31">
        <f t="shared" ref="T251:T282" si="49">S251-J251</f>
        <v>-1091542</v>
      </c>
      <c r="U251" s="1" t="s">
        <v>3616</v>
      </c>
      <c r="V251" s="16"/>
      <c r="W251" s="30">
        <f t="shared" si="42"/>
        <v>0</v>
      </c>
      <c r="X251" s="27">
        <f t="shared" ref="X251:X282" si="50">S251/J251</f>
        <v>1.1124086242243987E-2</v>
      </c>
      <c r="Y251" s="18"/>
      <c r="Z251" s="19"/>
    </row>
    <row r="252" spans="1:26" x14ac:dyDescent="0.35">
      <c r="A252" s="29">
        <v>1</v>
      </c>
      <c r="B252" s="1" t="s">
        <v>3619</v>
      </c>
      <c r="C252" s="1"/>
      <c r="D252" s="1" t="s">
        <v>855</v>
      </c>
      <c r="E252" s="1" t="s">
        <v>856</v>
      </c>
      <c r="F252" s="1" t="s">
        <v>21</v>
      </c>
      <c r="G252" s="5" t="s">
        <v>857</v>
      </c>
      <c r="H252" s="1" t="s">
        <v>17</v>
      </c>
      <c r="I252" s="2">
        <v>46086</v>
      </c>
      <c r="J252" s="33">
        <f t="shared" si="47"/>
        <v>51007</v>
      </c>
      <c r="K252" s="3">
        <v>4806</v>
      </c>
      <c r="L252" s="3">
        <v>41034</v>
      </c>
      <c r="M252" s="3">
        <v>4167</v>
      </c>
      <c r="N252" s="3">
        <v>0</v>
      </c>
      <c r="O252" s="3">
        <v>1000</v>
      </c>
      <c r="P252" s="1" t="s">
        <v>858</v>
      </c>
      <c r="Q252" s="3">
        <v>81422</v>
      </c>
      <c r="R252" s="25">
        <f t="shared" si="48"/>
        <v>1.5962907051973259</v>
      </c>
      <c r="S252" s="32">
        <f>J252</f>
        <v>51007</v>
      </c>
      <c r="T252" s="3">
        <f t="shared" si="49"/>
        <v>0</v>
      </c>
      <c r="U252" s="1" t="s">
        <v>3615</v>
      </c>
      <c r="V252" s="16">
        <v>1</v>
      </c>
      <c r="W252" s="28">
        <f t="shared" si="42"/>
        <v>1</v>
      </c>
      <c r="X252" s="27">
        <f t="shared" si="50"/>
        <v>1</v>
      </c>
      <c r="Y252" s="18"/>
      <c r="Z252" s="19"/>
    </row>
    <row r="253" spans="1:26" x14ac:dyDescent="0.35">
      <c r="A253" s="29">
        <v>1</v>
      </c>
      <c r="B253" s="1" t="s">
        <v>3619</v>
      </c>
      <c r="C253" s="1"/>
      <c r="D253" s="1" t="s">
        <v>1225</v>
      </c>
      <c r="E253" s="1" t="s">
        <v>1226</v>
      </c>
      <c r="F253" s="1" t="s">
        <v>1226</v>
      </c>
      <c r="G253" s="5" t="s">
        <v>1227</v>
      </c>
      <c r="H253" s="1" t="s">
        <v>32</v>
      </c>
      <c r="I253" s="2">
        <v>46086</v>
      </c>
      <c r="J253" s="33">
        <f t="shared" si="47"/>
        <v>80423</v>
      </c>
      <c r="K253" s="3">
        <v>25781</v>
      </c>
      <c r="L253" s="3">
        <v>48086</v>
      </c>
      <c r="M253" s="3">
        <v>5556</v>
      </c>
      <c r="N253" s="3">
        <v>0</v>
      </c>
      <c r="O253" s="3">
        <v>1000</v>
      </c>
      <c r="P253" s="1" t="s">
        <v>1228</v>
      </c>
      <c r="Q253" s="3">
        <v>57039</v>
      </c>
      <c r="R253" s="25">
        <f t="shared" si="48"/>
        <v>0.70923740720938044</v>
      </c>
      <c r="S253" s="32">
        <f>Q253</f>
        <v>57039</v>
      </c>
      <c r="T253" s="31">
        <f t="shared" si="49"/>
        <v>-23384</v>
      </c>
      <c r="U253" s="1" t="s">
        <v>3616</v>
      </c>
      <c r="V253" s="16"/>
      <c r="W253" s="30">
        <f t="shared" si="42"/>
        <v>0</v>
      </c>
      <c r="X253" s="27">
        <f t="shared" si="50"/>
        <v>0.70923740720938044</v>
      </c>
      <c r="Y253" s="18"/>
      <c r="Z253" s="19"/>
    </row>
    <row r="254" spans="1:26" x14ac:dyDescent="0.35">
      <c r="A254" s="29">
        <v>1</v>
      </c>
      <c r="B254" s="1" t="s">
        <v>3619</v>
      </c>
      <c r="C254" s="1"/>
      <c r="D254" s="1" t="s">
        <v>1339</v>
      </c>
      <c r="E254" s="1" t="s">
        <v>1340</v>
      </c>
      <c r="F254" s="1" t="s">
        <v>21</v>
      </c>
      <c r="G254" s="5" t="s">
        <v>1341</v>
      </c>
      <c r="H254" s="1" t="s">
        <v>17</v>
      </c>
      <c r="I254" s="2">
        <v>46086</v>
      </c>
      <c r="J254" s="33">
        <f t="shared" si="47"/>
        <v>347807</v>
      </c>
      <c r="K254" s="3">
        <v>55405</v>
      </c>
      <c r="L254" s="3">
        <v>263624</v>
      </c>
      <c r="M254" s="3">
        <v>27778</v>
      </c>
      <c r="N254" s="3">
        <v>0</v>
      </c>
      <c r="O254" s="3">
        <v>1000</v>
      </c>
      <c r="P254" s="1" t="s">
        <v>1342</v>
      </c>
      <c r="Q254" s="3">
        <v>24772</v>
      </c>
      <c r="R254" s="25">
        <f t="shared" si="48"/>
        <v>7.12234083845351E-2</v>
      </c>
      <c r="S254" s="32">
        <f>Q254</f>
        <v>24772</v>
      </c>
      <c r="T254" s="31">
        <f t="shared" si="49"/>
        <v>-323035</v>
      </c>
      <c r="U254" s="1" t="s">
        <v>3616</v>
      </c>
      <c r="V254" s="16"/>
      <c r="W254" s="30">
        <f t="shared" si="42"/>
        <v>0</v>
      </c>
      <c r="X254" s="27">
        <f t="shared" si="50"/>
        <v>7.12234083845351E-2</v>
      </c>
      <c r="Y254" s="18"/>
      <c r="Z254" s="19"/>
    </row>
    <row r="255" spans="1:26" x14ac:dyDescent="0.35">
      <c r="A255" s="29">
        <v>1</v>
      </c>
      <c r="B255" s="1" t="s">
        <v>3619</v>
      </c>
      <c r="C255" s="1"/>
      <c r="D255" s="1" t="s">
        <v>1217</v>
      </c>
      <c r="E255" s="1" t="s">
        <v>1218</v>
      </c>
      <c r="F255" s="1" t="s">
        <v>1218</v>
      </c>
      <c r="G255" s="5" t="s">
        <v>1219</v>
      </c>
      <c r="H255" s="1" t="s">
        <v>17</v>
      </c>
      <c r="I255" s="2">
        <v>46086</v>
      </c>
      <c r="J255" s="33">
        <f t="shared" si="47"/>
        <v>76339</v>
      </c>
      <c r="K255" s="3">
        <v>7187</v>
      </c>
      <c r="L255" s="3">
        <v>62319</v>
      </c>
      <c r="M255" s="3">
        <v>5833</v>
      </c>
      <c r="N255" s="3">
        <v>0</v>
      </c>
      <c r="O255" s="3">
        <v>1000</v>
      </c>
      <c r="P255" s="1" t="s">
        <v>1220</v>
      </c>
      <c r="Q255" s="3">
        <v>81606</v>
      </c>
      <c r="R255" s="25">
        <f t="shared" si="48"/>
        <v>1.0689948781094853</v>
      </c>
      <c r="S255" s="32">
        <f>J255</f>
        <v>76339</v>
      </c>
      <c r="T255" s="3">
        <f t="shared" si="49"/>
        <v>0</v>
      </c>
      <c r="U255" s="1" t="s">
        <v>3615</v>
      </c>
      <c r="V255" s="16">
        <v>1</v>
      </c>
      <c r="W255" s="28">
        <f t="shared" si="42"/>
        <v>1</v>
      </c>
      <c r="X255" s="27">
        <f t="shared" si="50"/>
        <v>1</v>
      </c>
      <c r="Y255" s="18"/>
      <c r="Z255" s="19"/>
    </row>
    <row r="256" spans="1:26" x14ac:dyDescent="0.35">
      <c r="A256" s="29">
        <v>1</v>
      </c>
      <c r="B256" s="1" t="s">
        <v>3619</v>
      </c>
      <c r="C256" s="1"/>
      <c r="D256" s="1" t="s">
        <v>1359</v>
      </c>
      <c r="E256" s="1" t="s">
        <v>1360</v>
      </c>
      <c r="F256" s="1" t="s">
        <v>21</v>
      </c>
      <c r="G256" s="5" t="s">
        <v>1361</v>
      </c>
      <c r="H256" s="1" t="s">
        <v>17</v>
      </c>
      <c r="I256" s="2">
        <v>46086</v>
      </c>
      <c r="J256" s="33">
        <f t="shared" si="47"/>
        <v>503450</v>
      </c>
      <c r="K256" s="3">
        <v>50377</v>
      </c>
      <c r="L256" s="3">
        <v>410406</v>
      </c>
      <c r="M256" s="3">
        <v>41667</v>
      </c>
      <c r="N256" s="3">
        <v>0</v>
      </c>
      <c r="O256" s="3">
        <v>1000</v>
      </c>
      <c r="P256" s="1" t="s">
        <v>1362</v>
      </c>
      <c r="Q256" s="3">
        <v>0</v>
      </c>
      <c r="R256" s="25">
        <f t="shared" si="48"/>
        <v>0</v>
      </c>
      <c r="S256" s="32">
        <f>Q256</f>
        <v>0</v>
      </c>
      <c r="T256" s="31">
        <f t="shared" si="49"/>
        <v>-503450</v>
      </c>
      <c r="U256" s="1" t="s">
        <v>3616</v>
      </c>
      <c r="V256" s="16"/>
      <c r="W256" s="30">
        <f t="shared" si="42"/>
        <v>0</v>
      </c>
      <c r="X256" s="27">
        <f t="shared" si="50"/>
        <v>0</v>
      </c>
      <c r="Y256" s="18"/>
      <c r="Z256" s="19"/>
    </row>
    <row r="257" spans="1:26" x14ac:dyDescent="0.35">
      <c r="A257" s="29">
        <v>1</v>
      </c>
      <c r="B257" s="1" t="s">
        <v>3619</v>
      </c>
      <c r="C257" s="1"/>
      <c r="D257" s="1" t="s">
        <v>1209</v>
      </c>
      <c r="E257" s="1" t="s">
        <v>1210</v>
      </c>
      <c r="F257" s="1" t="s">
        <v>1210</v>
      </c>
      <c r="G257" s="5" t="s">
        <v>1211</v>
      </c>
      <c r="H257" s="1" t="s">
        <v>17</v>
      </c>
      <c r="I257" s="2">
        <v>46086</v>
      </c>
      <c r="J257" s="33">
        <f t="shared" si="47"/>
        <v>216255</v>
      </c>
      <c r="K257" s="3">
        <v>18095</v>
      </c>
      <c r="L257" s="3">
        <v>180493</v>
      </c>
      <c r="M257" s="3">
        <v>16667</v>
      </c>
      <c r="N257" s="3">
        <v>0</v>
      </c>
      <c r="O257" s="3">
        <v>1000</v>
      </c>
      <c r="P257" s="1" t="s">
        <v>1212</v>
      </c>
      <c r="Q257" s="3">
        <v>0</v>
      </c>
      <c r="R257" s="25">
        <f t="shared" si="48"/>
        <v>0</v>
      </c>
      <c r="S257" s="32">
        <f>Q257</f>
        <v>0</v>
      </c>
      <c r="T257" s="31">
        <f t="shared" si="49"/>
        <v>-216255</v>
      </c>
      <c r="U257" s="1" t="s">
        <v>3616</v>
      </c>
      <c r="V257" s="16"/>
      <c r="W257" s="30">
        <f t="shared" si="42"/>
        <v>0</v>
      </c>
      <c r="X257" s="27">
        <f t="shared" si="50"/>
        <v>0</v>
      </c>
      <c r="Y257" s="18"/>
      <c r="Z257" s="19"/>
    </row>
    <row r="258" spans="1:26" x14ac:dyDescent="0.35">
      <c r="A258" s="29">
        <v>1</v>
      </c>
      <c r="B258" s="1" t="s">
        <v>3619</v>
      </c>
      <c r="C258" s="1"/>
      <c r="D258" s="1" t="s">
        <v>1034</v>
      </c>
      <c r="E258" s="1" t="s">
        <v>1035</v>
      </c>
      <c r="F258" s="1" t="s">
        <v>21</v>
      </c>
      <c r="G258" s="5" t="s">
        <v>1036</v>
      </c>
      <c r="H258" s="1" t="s">
        <v>17</v>
      </c>
      <c r="I258" s="2">
        <v>46086</v>
      </c>
      <c r="J258" s="33">
        <f t="shared" si="47"/>
        <v>101490</v>
      </c>
      <c r="K258" s="3">
        <v>10131</v>
      </c>
      <c r="L258" s="3">
        <v>82026</v>
      </c>
      <c r="M258" s="3">
        <v>8333</v>
      </c>
      <c r="N258" s="3">
        <v>0</v>
      </c>
      <c r="O258" s="3">
        <v>1000</v>
      </c>
      <c r="P258" s="1" t="s">
        <v>1037</v>
      </c>
      <c r="Q258" s="3">
        <v>0</v>
      </c>
      <c r="R258" s="25">
        <f t="shared" si="48"/>
        <v>0</v>
      </c>
      <c r="S258" s="32">
        <f>Q258</f>
        <v>0</v>
      </c>
      <c r="T258" s="31">
        <f t="shared" si="49"/>
        <v>-101490</v>
      </c>
      <c r="U258" s="1" t="s">
        <v>3616</v>
      </c>
      <c r="V258" s="16"/>
      <c r="W258" s="30">
        <f t="shared" si="42"/>
        <v>0</v>
      </c>
      <c r="X258" s="27">
        <f t="shared" si="50"/>
        <v>0</v>
      </c>
      <c r="Y258" s="18"/>
      <c r="Z258" s="19"/>
    </row>
    <row r="259" spans="1:26" x14ac:dyDescent="0.35">
      <c r="A259" s="29">
        <v>1</v>
      </c>
      <c r="B259" s="1" t="s">
        <v>3619</v>
      </c>
      <c r="C259" s="1"/>
      <c r="D259" s="1" t="s">
        <v>1266</v>
      </c>
      <c r="E259" s="1" t="s">
        <v>1267</v>
      </c>
      <c r="F259" s="1" t="s">
        <v>1267</v>
      </c>
      <c r="G259" s="5" t="s">
        <v>1268</v>
      </c>
      <c r="H259" s="1" t="s">
        <v>17</v>
      </c>
      <c r="I259" s="2">
        <v>46086</v>
      </c>
      <c r="J259" s="33">
        <f t="shared" si="47"/>
        <v>108627</v>
      </c>
      <c r="K259" s="3">
        <v>11471</v>
      </c>
      <c r="L259" s="3">
        <v>87823</v>
      </c>
      <c r="M259" s="3">
        <v>8333</v>
      </c>
      <c r="N259" s="3">
        <v>0</v>
      </c>
      <c r="O259" s="3">
        <v>1000</v>
      </c>
      <c r="P259" s="1" t="s">
        <v>1269</v>
      </c>
      <c r="Q259" s="3">
        <v>52925</v>
      </c>
      <c r="R259" s="25">
        <f t="shared" si="48"/>
        <v>0.48721772671619396</v>
      </c>
      <c r="S259" s="32">
        <f>Q259</f>
        <v>52925</v>
      </c>
      <c r="T259" s="31">
        <f t="shared" si="49"/>
        <v>-55702</v>
      </c>
      <c r="U259" s="1" t="s">
        <v>3616</v>
      </c>
      <c r="V259" s="16"/>
      <c r="W259" s="30">
        <f t="shared" ref="W259:W322" si="51">V259/A259</f>
        <v>0</v>
      </c>
      <c r="X259" s="27">
        <f t="shared" si="50"/>
        <v>0.48721772671619396</v>
      </c>
      <c r="Y259" s="18"/>
      <c r="Z259" s="19"/>
    </row>
    <row r="260" spans="1:26" x14ac:dyDescent="0.35">
      <c r="A260" s="29">
        <v>1</v>
      </c>
      <c r="B260" s="1" t="s">
        <v>3619</v>
      </c>
      <c r="C260" s="1"/>
      <c r="D260" s="1" t="s">
        <v>1242</v>
      </c>
      <c r="E260" s="1" t="s">
        <v>1243</v>
      </c>
      <c r="F260" s="1" t="s">
        <v>1243</v>
      </c>
      <c r="G260" s="5" t="s">
        <v>1244</v>
      </c>
      <c r="H260" s="1" t="s">
        <v>17</v>
      </c>
      <c r="I260" s="2">
        <v>46086</v>
      </c>
      <c r="J260" s="33">
        <f t="shared" si="47"/>
        <v>76339</v>
      </c>
      <c r="K260" s="3">
        <v>8029</v>
      </c>
      <c r="L260" s="3">
        <v>61477</v>
      </c>
      <c r="M260" s="3">
        <v>5833</v>
      </c>
      <c r="N260" s="3">
        <v>0</v>
      </c>
      <c r="O260" s="3">
        <v>1000</v>
      </c>
      <c r="P260" s="1" t="s">
        <v>1245</v>
      </c>
      <c r="Q260" s="3">
        <v>100245</v>
      </c>
      <c r="R260" s="25">
        <f t="shared" si="48"/>
        <v>1.31315579192811</v>
      </c>
      <c r="S260" s="32">
        <f>J260</f>
        <v>76339</v>
      </c>
      <c r="T260" s="3">
        <f t="shared" si="49"/>
        <v>0</v>
      </c>
      <c r="U260" s="1" t="s">
        <v>3615</v>
      </c>
      <c r="V260" s="16">
        <v>1</v>
      </c>
      <c r="W260" s="28">
        <f t="shared" si="51"/>
        <v>1</v>
      </c>
      <c r="X260" s="27">
        <f t="shared" si="50"/>
        <v>1</v>
      </c>
      <c r="Y260" s="18"/>
      <c r="Z260" s="19"/>
    </row>
    <row r="261" spans="1:26" x14ac:dyDescent="0.35">
      <c r="A261" s="29">
        <v>1</v>
      </c>
      <c r="B261" s="1" t="s">
        <v>3619</v>
      </c>
      <c r="C261" s="1"/>
      <c r="D261" s="1" t="s">
        <v>1057</v>
      </c>
      <c r="E261" s="1" t="s">
        <v>1058</v>
      </c>
      <c r="F261" s="1" t="s">
        <v>21</v>
      </c>
      <c r="G261" s="5" t="s">
        <v>1059</v>
      </c>
      <c r="H261" s="1" t="s">
        <v>17</v>
      </c>
      <c r="I261" s="2">
        <v>46086</v>
      </c>
      <c r="J261" s="33">
        <f t="shared" si="47"/>
        <v>71009</v>
      </c>
      <c r="K261" s="3">
        <v>6694</v>
      </c>
      <c r="L261" s="3">
        <v>57482</v>
      </c>
      <c r="M261" s="3">
        <v>5833</v>
      </c>
      <c r="N261" s="3">
        <v>0</v>
      </c>
      <c r="O261" s="3">
        <v>1000</v>
      </c>
      <c r="P261" s="1" t="s">
        <v>1060</v>
      </c>
      <c r="Q261" s="3">
        <v>101000</v>
      </c>
      <c r="R261" s="25">
        <f t="shared" si="48"/>
        <v>1.4223549127575377</v>
      </c>
      <c r="S261" s="32">
        <f>J261</f>
        <v>71009</v>
      </c>
      <c r="T261" s="3">
        <f t="shared" si="49"/>
        <v>0</v>
      </c>
      <c r="U261" s="1" t="s">
        <v>3615</v>
      </c>
      <c r="V261" s="16">
        <v>1</v>
      </c>
      <c r="W261" s="28">
        <f t="shared" si="51"/>
        <v>1</v>
      </c>
      <c r="X261" s="27">
        <f t="shared" si="50"/>
        <v>1</v>
      </c>
      <c r="Y261" s="18"/>
      <c r="Z261" s="19"/>
    </row>
    <row r="262" spans="1:26" x14ac:dyDescent="0.35">
      <c r="A262" s="29">
        <v>1</v>
      </c>
      <c r="B262" s="1" t="s">
        <v>3619</v>
      </c>
      <c r="C262" s="1"/>
      <c r="D262" s="1" t="s">
        <v>996</v>
      </c>
      <c r="E262" s="1" t="s">
        <v>997</v>
      </c>
      <c r="F262" s="1" t="s">
        <v>21</v>
      </c>
      <c r="G262" s="5" t="s">
        <v>998</v>
      </c>
      <c r="H262" s="1" t="s">
        <v>17</v>
      </c>
      <c r="I262" s="2">
        <v>46086</v>
      </c>
      <c r="J262" s="33">
        <f t="shared" si="47"/>
        <v>388457</v>
      </c>
      <c r="K262" s="3">
        <v>65166</v>
      </c>
      <c r="L262" s="3">
        <v>291041</v>
      </c>
      <c r="M262" s="3">
        <v>31250</v>
      </c>
      <c r="N262" s="3">
        <v>0</v>
      </c>
      <c r="O262" s="3">
        <v>1000</v>
      </c>
      <c r="P262" s="1" t="s">
        <v>999</v>
      </c>
      <c r="Q262" s="3">
        <v>211086</v>
      </c>
      <c r="R262" s="25">
        <f t="shared" si="48"/>
        <v>0.54339605155783011</v>
      </c>
      <c r="S262" s="32">
        <f>Q262</f>
        <v>211086</v>
      </c>
      <c r="T262" s="31">
        <f t="shared" si="49"/>
        <v>-177371</v>
      </c>
      <c r="U262" s="1" t="s">
        <v>3616</v>
      </c>
      <c r="V262" s="16"/>
      <c r="W262" s="30">
        <f t="shared" si="51"/>
        <v>0</v>
      </c>
      <c r="X262" s="27">
        <f t="shared" si="50"/>
        <v>0.54339605155783011</v>
      </c>
      <c r="Y262" s="18"/>
      <c r="Z262" s="19"/>
    </row>
    <row r="263" spans="1:26" x14ac:dyDescent="0.35">
      <c r="A263" s="29">
        <v>1</v>
      </c>
      <c r="B263" s="1" t="s">
        <v>3619</v>
      </c>
      <c r="C263" s="1"/>
      <c r="D263" s="1" t="s">
        <v>983</v>
      </c>
      <c r="E263" s="1" t="s">
        <v>984</v>
      </c>
      <c r="F263" s="1" t="s">
        <v>21</v>
      </c>
      <c r="G263" s="5" t="s">
        <v>985</v>
      </c>
      <c r="H263" s="1" t="s">
        <v>17</v>
      </c>
      <c r="I263" s="2">
        <v>46086</v>
      </c>
      <c r="J263" s="33">
        <f t="shared" si="47"/>
        <v>101490</v>
      </c>
      <c r="K263" s="3">
        <v>12395</v>
      </c>
      <c r="L263" s="3">
        <v>79762</v>
      </c>
      <c r="M263" s="3">
        <v>8333</v>
      </c>
      <c r="N263" s="3">
        <v>0</v>
      </c>
      <c r="O263" s="3">
        <v>1000</v>
      </c>
      <c r="P263" s="1" t="s">
        <v>986</v>
      </c>
      <c r="Q263" s="3">
        <v>108020</v>
      </c>
      <c r="R263" s="25">
        <f t="shared" si="48"/>
        <v>1.0643413144152134</v>
      </c>
      <c r="S263" s="32">
        <f>J263</f>
        <v>101490</v>
      </c>
      <c r="T263" s="3">
        <f t="shared" si="49"/>
        <v>0</v>
      </c>
      <c r="U263" s="1" t="s">
        <v>3615</v>
      </c>
      <c r="V263" s="16">
        <v>1</v>
      </c>
      <c r="W263" s="28">
        <f t="shared" si="51"/>
        <v>1</v>
      </c>
      <c r="X263" s="27">
        <f t="shared" si="50"/>
        <v>1</v>
      </c>
      <c r="Y263" s="18"/>
      <c r="Z263" s="19"/>
    </row>
    <row r="264" spans="1:26" x14ac:dyDescent="0.35">
      <c r="A264" s="29">
        <v>1</v>
      </c>
      <c r="B264" s="1" t="s">
        <v>3619</v>
      </c>
      <c r="C264" s="1"/>
      <c r="D264" s="1" t="s">
        <v>1030</v>
      </c>
      <c r="E264" s="1" t="s">
        <v>1031</v>
      </c>
      <c r="F264" s="1" t="s">
        <v>21</v>
      </c>
      <c r="G264" s="5" t="s">
        <v>1032</v>
      </c>
      <c r="H264" s="1" t="s">
        <v>32</v>
      </c>
      <c r="I264" s="2">
        <v>46086</v>
      </c>
      <c r="J264" s="33">
        <f t="shared" si="47"/>
        <v>217363</v>
      </c>
      <c r="K264" s="3">
        <v>45404</v>
      </c>
      <c r="L264" s="3">
        <v>154292</v>
      </c>
      <c r="M264" s="3">
        <v>16667</v>
      </c>
      <c r="N264" s="3">
        <v>0</v>
      </c>
      <c r="O264" s="3">
        <v>1000</v>
      </c>
      <c r="P264" s="1" t="s">
        <v>1033</v>
      </c>
      <c r="Q264" s="3">
        <v>1000</v>
      </c>
      <c r="R264" s="25">
        <f t="shared" si="48"/>
        <v>4.6005989979895382E-3</v>
      </c>
      <c r="S264" s="32">
        <f>Q264</f>
        <v>1000</v>
      </c>
      <c r="T264" s="31">
        <f t="shared" si="49"/>
        <v>-216363</v>
      </c>
      <c r="U264" s="1" t="s">
        <v>3616</v>
      </c>
      <c r="V264" s="16"/>
      <c r="W264" s="30">
        <f t="shared" si="51"/>
        <v>0</v>
      </c>
      <c r="X264" s="27">
        <f t="shared" si="50"/>
        <v>4.6005989979895382E-3</v>
      </c>
      <c r="Y264" s="18"/>
      <c r="Z264" s="19"/>
    </row>
    <row r="265" spans="1:26" x14ac:dyDescent="0.35">
      <c r="A265" s="29">
        <v>1</v>
      </c>
      <c r="B265" s="1" t="s">
        <v>3619</v>
      </c>
      <c r="C265" s="1"/>
      <c r="D265" s="1" t="s">
        <v>1221</v>
      </c>
      <c r="E265" s="1" t="s">
        <v>1222</v>
      </c>
      <c r="F265" s="1" t="s">
        <v>21</v>
      </c>
      <c r="G265" s="5" t="s">
        <v>1223</v>
      </c>
      <c r="H265" s="1" t="s">
        <v>17</v>
      </c>
      <c r="I265" s="2">
        <v>46086</v>
      </c>
      <c r="J265" s="33">
        <f t="shared" si="47"/>
        <v>539136</v>
      </c>
      <c r="K265" s="3">
        <v>51339</v>
      </c>
      <c r="L265" s="3">
        <v>445130</v>
      </c>
      <c r="M265" s="3">
        <v>41667</v>
      </c>
      <c r="N265" s="3">
        <v>0</v>
      </c>
      <c r="O265" s="3">
        <v>1000</v>
      </c>
      <c r="P265" s="1" t="s">
        <v>1224</v>
      </c>
      <c r="Q265" s="3">
        <v>306312</v>
      </c>
      <c r="R265" s="25">
        <f t="shared" si="48"/>
        <v>0.56815349002849003</v>
      </c>
      <c r="S265" s="32">
        <f>Q265</f>
        <v>306312</v>
      </c>
      <c r="T265" s="31">
        <f t="shared" si="49"/>
        <v>-232824</v>
      </c>
      <c r="U265" s="1" t="s">
        <v>3616</v>
      </c>
      <c r="V265" s="16"/>
      <c r="W265" s="30">
        <f t="shared" si="51"/>
        <v>0</v>
      </c>
      <c r="X265" s="27">
        <f t="shared" si="50"/>
        <v>0.56815349002849003</v>
      </c>
      <c r="Y265" s="18"/>
      <c r="Z265" s="19"/>
    </row>
    <row r="266" spans="1:26" x14ac:dyDescent="0.35">
      <c r="A266" s="29">
        <v>1</v>
      </c>
      <c r="B266" s="1" t="s">
        <v>3619</v>
      </c>
      <c r="C266" s="1"/>
      <c r="D266" s="1" t="s">
        <v>901</v>
      </c>
      <c r="E266" s="1" t="s">
        <v>902</v>
      </c>
      <c r="F266" s="1" t="s">
        <v>21</v>
      </c>
      <c r="G266" s="5" t="s">
        <v>903</v>
      </c>
      <c r="H266" s="1" t="s">
        <v>17</v>
      </c>
      <c r="I266" s="2">
        <v>46086</v>
      </c>
      <c r="J266" s="33">
        <f t="shared" si="47"/>
        <v>71009</v>
      </c>
      <c r="K266" s="3">
        <v>8289</v>
      </c>
      <c r="L266" s="3">
        <v>55887</v>
      </c>
      <c r="M266" s="3">
        <v>5833</v>
      </c>
      <c r="N266" s="3">
        <v>0</v>
      </c>
      <c r="O266" s="3">
        <v>1000</v>
      </c>
      <c r="P266" s="1" t="s">
        <v>904</v>
      </c>
      <c r="Q266" s="3">
        <v>130482</v>
      </c>
      <c r="R266" s="25">
        <f t="shared" si="48"/>
        <v>1.8375417200636539</v>
      </c>
      <c r="S266" s="32">
        <f>J266</f>
        <v>71009</v>
      </c>
      <c r="T266" s="3">
        <f t="shared" si="49"/>
        <v>0</v>
      </c>
      <c r="U266" s="1" t="s">
        <v>3615</v>
      </c>
      <c r="V266" s="16">
        <v>1</v>
      </c>
      <c r="W266" s="28">
        <f t="shared" si="51"/>
        <v>1</v>
      </c>
      <c r="X266" s="27">
        <f t="shared" si="50"/>
        <v>1</v>
      </c>
      <c r="Y266" s="18"/>
      <c r="Z266" s="19"/>
    </row>
    <row r="267" spans="1:26" x14ac:dyDescent="0.35">
      <c r="A267" s="29">
        <v>1</v>
      </c>
      <c r="B267" s="1" t="s">
        <v>3619</v>
      </c>
      <c r="C267" s="1"/>
      <c r="D267" s="1" t="s">
        <v>987</v>
      </c>
      <c r="E267" s="1" t="s">
        <v>988</v>
      </c>
      <c r="F267" s="1" t="s">
        <v>21</v>
      </c>
      <c r="G267" s="5" t="s">
        <v>989</v>
      </c>
      <c r="H267" s="1" t="s">
        <v>32</v>
      </c>
      <c r="I267" s="2">
        <v>46086</v>
      </c>
      <c r="J267" s="33">
        <f t="shared" si="47"/>
        <v>302470</v>
      </c>
      <c r="K267" s="3">
        <v>33686</v>
      </c>
      <c r="L267" s="3">
        <v>242784</v>
      </c>
      <c r="M267" s="3">
        <v>25000</v>
      </c>
      <c r="N267" s="3">
        <v>0</v>
      </c>
      <c r="O267" s="3">
        <v>1000</v>
      </c>
      <c r="P267" s="1" t="s">
        <v>990</v>
      </c>
      <c r="Q267" s="3">
        <v>189558</v>
      </c>
      <c r="R267" s="25">
        <f t="shared" si="48"/>
        <v>0.62670016861176314</v>
      </c>
      <c r="S267" s="32">
        <f>Q267</f>
        <v>189558</v>
      </c>
      <c r="T267" s="31">
        <f t="shared" si="49"/>
        <v>-112912</v>
      </c>
      <c r="U267" s="1" t="s">
        <v>3616</v>
      </c>
      <c r="V267" s="16"/>
      <c r="W267" s="30">
        <f t="shared" si="51"/>
        <v>0</v>
      </c>
      <c r="X267" s="27">
        <f t="shared" si="50"/>
        <v>0.62670016861176314</v>
      </c>
      <c r="Y267" s="18"/>
      <c r="Z267" s="19"/>
    </row>
    <row r="268" spans="1:26" x14ac:dyDescent="0.35">
      <c r="A268" s="29">
        <v>1</v>
      </c>
      <c r="B268" s="1" t="s">
        <v>3619</v>
      </c>
      <c r="C268" s="1"/>
      <c r="D268" s="1" t="s">
        <v>1363</v>
      </c>
      <c r="E268" s="1" t="s">
        <v>1364</v>
      </c>
      <c r="F268" s="1" t="s">
        <v>21</v>
      </c>
      <c r="G268" s="5" t="s">
        <v>1365</v>
      </c>
      <c r="H268" s="1" t="s">
        <v>32</v>
      </c>
      <c r="I268" s="2">
        <v>46086</v>
      </c>
      <c r="J268" s="33">
        <f t="shared" si="47"/>
        <v>207417</v>
      </c>
      <c r="K268" s="3">
        <v>37374</v>
      </c>
      <c r="L268" s="3">
        <v>154043</v>
      </c>
      <c r="M268" s="3">
        <v>15000</v>
      </c>
      <c r="N268" s="3">
        <v>0</v>
      </c>
      <c r="O268" s="3">
        <v>1000</v>
      </c>
      <c r="P268" s="1" t="s">
        <v>1366</v>
      </c>
      <c r="Q268" s="3">
        <v>677022</v>
      </c>
      <c r="R268" s="25">
        <f t="shared" si="48"/>
        <v>3.2640622514065867</v>
      </c>
      <c r="S268" s="32">
        <f>J268</f>
        <v>207417</v>
      </c>
      <c r="T268" s="3">
        <f t="shared" si="49"/>
        <v>0</v>
      </c>
      <c r="U268" s="1" t="s">
        <v>3615</v>
      </c>
      <c r="V268" s="16">
        <v>1</v>
      </c>
      <c r="W268" s="28">
        <f t="shared" si="51"/>
        <v>1</v>
      </c>
      <c r="X268" s="27">
        <f t="shared" si="50"/>
        <v>1</v>
      </c>
      <c r="Y268" s="18"/>
      <c r="Z268" s="19"/>
    </row>
    <row r="269" spans="1:26" x14ac:dyDescent="0.35">
      <c r="A269" s="29">
        <v>1</v>
      </c>
      <c r="B269" s="1" t="s">
        <v>3619</v>
      </c>
      <c r="C269" s="1"/>
      <c r="D269" s="1" t="s">
        <v>746</v>
      </c>
      <c r="E269" s="1" t="s">
        <v>747</v>
      </c>
      <c r="F269" s="1" t="s">
        <v>21</v>
      </c>
      <c r="G269" s="5" t="s">
        <v>748</v>
      </c>
      <c r="H269" s="1" t="s">
        <v>17</v>
      </c>
      <c r="I269" s="2">
        <v>46086</v>
      </c>
      <c r="J269" s="33">
        <f t="shared" si="47"/>
        <v>201980</v>
      </c>
      <c r="K269" s="3">
        <v>25022</v>
      </c>
      <c r="L269" s="3">
        <v>159291</v>
      </c>
      <c r="M269" s="3">
        <v>16667</v>
      </c>
      <c r="N269" s="3">
        <v>0</v>
      </c>
      <c r="O269" s="3">
        <v>1000</v>
      </c>
      <c r="P269" s="1" t="s">
        <v>749</v>
      </c>
      <c r="Q269" s="3">
        <v>5021</v>
      </c>
      <c r="R269" s="25">
        <f t="shared" si="48"/>
        <v>2.4858896920487178E-2</v>
      </c>
      <c r="S269" s="32">
        <f>Q269</f>
        <v>5021</v>
      </c>
      <c r="T269" s="31">
        <f t="shared" si="49"/>
        <v>-196959</v>
      </c>
      <c r="U269" s="1" t="s">
        <v>3616</v>
      </c>
      <c r="V269" s="16"/>
      <c r="W269" s="30">
        <f t="shared" si="51"/>
        <v>0</v>
      </c>
      <c r="X269" s="27">
        <f t="shared" si="50"/>
        <v>2.4858896920487178E-2</v>
      </c>
      <c r="Y269" s="18"/>
      <c r="Z269" s="19"/>
    </row>
    <row r="270" spans="1:26" x14ac:dyDescent="0.35">
      <c r="A270" s="29">
        <v>1</v>
      </c>
      <c r="B270" s="1" t="s">
        <v>3619</v>
      </c>
      <c r="C270" s="1"/>
      <c r="D270" s="1" t="s">
        <v>1053</v>
      </c>
      <c r="E270" s="1" t="s">
        <v>1054</v>
      </c>
      <c r="F270" s="1" t="s">
        <v>21</v>
      </c>
      <c r="G270" s="5" t="s">
        <v>1055</v>
      </c>
      <c r="H270" s="1" t="s">
        <v>17</v>
      </c>
      <c r="I270" s="2">
        <v>46086</v>
      </c>
      <c r="J270" s="33">
        <f t="shared" si="47"/>
        <v>51245</v>
      </c>
      <c r="K270" s="3">
        <v>5062</v>
      </c>
      <c r="L270" s="3">
        <v>41016</v>
      </c>
      <c r="M270" s="3">
        <v>4167</v>
      </c>
      <c r="N270" s="3">
        <v>0</v>
      </c>
      <c r="O270" s="3">
        <v>1000</v>
      </c>
      <c r="P270" s="1" t="s">
        <v>1056</v>
      </c>
      <c r="Q270" s="3">
        <v>64520</v>
      </c>
      <c r="R270" s="25">
        <f t="shared" si="48"/>
        <v>1.2590496633817934</v>
      </c>
      <c r="S270" s="32">
        <f>J270</f>
        <v>51245</v>
      </c>
      <c r="T270" s="3">
        <f t="shared" si="49"/>
        <v>0</v>
      </c>
      <c r="U270" s="1" t="s">
        <v>3615</v>
      </c>
      <c r="V270" s="16">
        <v>1</v>
      </c>
      <c r="W270" s="28">
        <f t="shared" si="51"/>
        <v>1</v>
      </c>
      <c r="X270" s="27">
        <f t="shared" si="50"/>
        <v>1</v>
      </c>
      <c r="Y270" s="18"/>
      <c r="Z270" s="19"/>
    </row>
    <row r="271" spans="1:26" x14ac:dyDescent="0.35">
      <c r="A271" s="29">
        <v>1</v>
      </c>
      <c r="B271" s="1" t="s">
        <v>3619</v>
      </c>
      <c r="C271" s="1"/>
      <c r="D271" s="1" t="s">
        <v>1355</v>
      </c>
      <c r="E271" s="1" t="s">
        <v>1356</v>
      </c>
      <c r="F271" s="1" t="s">
        <v>21</v>
      </c>
      <c r="G271" s="5" t="s">
        <v>1357</v>
      </c>
      <c r="H271" s="1" t="s">
        <v>17</v>
      </c>
      <c r="I271" s="2">
        <v>46086</v>
      </c>
      <c r="J271" s="33">
        <f t="shared" si="47"/>
        <v>209084</v>
      </c>
      <c r="K271" s="3">
        <v>37706</v>
      </c>
      <c r="L271" s="3">
        <v>153711</v>
      </c>
      <c r="M271" s="3">
        <v>16667</v>
      </c>
      <c r="N271" s="3">
        <v>0</v>
      </c>
      <c r="O271" s="3">
        <v>1000</v>
      </c>
      <c r="P271" s="1" t="s">
        <v>1358</v>
      </c>
      <c r="Q271" s="3">
        <v>4596</v>
      </c>
      <c r="R271" s="25">
        <f t="shared" si="48"/>
        <v>2.1981595913604102E-2</v>
      </c>
      <c r="S271" s="32">
        <f>Q271</f>
        <v>4596</v>
      </c>
      <c r="T271" s="31">
        <f t="shared" si="49"/>
        <v>-204488</v>
      </c>
      <c r="U271" s="1" t="s">
        <v>3616</v>
      </c>
      <c r="V271" s="16"/>
      <c r="W271" s="30">
        <f t="shared" si="51"/>
        <v>0</v>
      </c>
      <c r="X271" s="27">
        <f t="shared" si="50"/>
        <v>2.1981595913604102E-2</v>
      </c>
      <c r="Y271" s="18"/>
      <c r="Z271" s="19"/>
    </row>
    <row r="272" spans="1:26" x14ac:dyDescent="0.35">
      <c r="A272" s="29">
        <v>1</v>
      </c>
      <c r="B272" s="1" t="s">
        <v>3619</v>
      </c>
      <c r="C272" s="1"/>
      <c r="D272" s="1" t="s">
        <v>897</v>
      </c>
      <c r="E272" s="1" t="s">
        <v>898</v>
      </c>
      <c r="F272" s="1" t="s">
        <v>21</v>
      </c>
      <c r="G272" s="5" t="s">
        <v>899</v>
      </c>
      <c r="H272" s="1" t="s">
        <v>17</v>
      </c>
      <c r="I272" s="2">
        <v>46086</v>
      </c>
      <c r="J272" s="33">
        <f t="shared" si="47"/>
        <v>51007</v>
      </c>
      <c r="K272" s="3">
        <v>5294</v>
      </c>
      <c r="L272" s="3">
        <v>40546</v>
      </c>
      <c r="M272" s="3">
        <v>4167</v>
      </c>
      <c r="N272" s="3">
        <v>0</v>
      </c>
      <c r="O272" s="3">
        <v>1000</v>
      </c>
      <c r="P272" s="1" t="s">
        <v>900</v>
      </c>
      <c r="Q272" s="3">
        <v>108629</v>
      </c>
      <c r="R272" s="25">
        <f t="shared" si="48"/>
        <v>2.1296880820279571</v>
      </c>
      <c r="S272" s="32">
        <f>J272</f>
        <v>51007</v>
      </c>
      <c r="T272" s="3">
        <f t="shared" si="49"/>
        <v>0</v>
      </c>
      <c r="U272" s="1" t="s">
        <v>3615</v>
      </c>
      <c r="V272" s="16">
        <v>1</v>
      </c>
      <c r="W272" s="28">
        <f t="shared" si="51"/>
        <v>1</v>
      </c>
      <c r="X272" s="27">
        <f t="shared" si="50"/>
        <v>1</v>
      </c>
      <c r="Y272" s="18"/>
      <c r="Z272" s="19"/>
    </row>
    <row r="273" spans="1:26" x14ac:dyDescent="0.35">
      <c r="A273" s="29">
        <v>1</v>
      </c>
      <c r="B273" s="1" t="s">
        <v>3619</v>
      </c>
      <c r="C273" s="1"/>
      <c r="D273" s="1" t="s">
        <v>1061</v>
      </c>
      <c r="E273" s="1" t="s">
        <v>1062</v>
      </c>
      <c r="F273" s="1" t="s">
        <v>21</v>
      </c>
      <c r="G273" s="5" t="s">
        <v>1063</v>
      </c>
      <c r="H273" s="1" t="s">
        <v>17</v>
      </c>
      <c r="I273" s="2">
        <v>46086</v>
      </c>
      <c r="J273" s="33">
        <f t="shared" si="47"/>
        <v>101490</v>
      </c>
      <c r="K273" s="3">
        <v>11370</v>
      </c>
      <c r="L273" s="3">
        <v>80787</v>
      </c>
      <c r="M273" s="3">
        <v>8333</v>
      </c>
      <c r="N273" s="3">
        <v>0</v>
      </c>
      <c r="O273" s="3">
        <v>1000</v>
      </c>
      <c r="P273" s="1" t="s">
        <v>1064</v>
      </c>
      <c r="Q273" s="3">
        <v>20520</v>
      </c>
      <c r="R273" s="25">
        <f t="shared" si="48"/>
        <v>0.20218740762636714</v>
      </c>
      <c r="S273" s="32">
        <f>Q273</f>
        <v>20520</v>
      </c>
      <c r="T273" s="31">
        <f t="shared" si="49"/>
        <v>-80970</v>
      </c>
      <c r="U273" s="1" t="s">
        <v>3616</v>
      </c>
      <c r="V273" s="16"/>
      <c r="W273" s="30">
        <f t="shared" si="51"/>
        <v>0</v>
      </c>
      <c r="X273" s="27">
        <f t="shared" si="50"/>
        <v>0.20218740762636714</v>
      </c>
      <c r="Y273" s="18"/>
      <c r="Z273" s="19"/>
    </row>
    <row r="274" spans="1:26" x14ac:dyDescent="0.35">
      <c r="A274" s="29">
        <v>1</v>
      </c>
      <c r="B274" s="1" t="s">
        <v>3619</v>
      </c>
      <c r="C274" s="1"/>
      <c r="D274" s="1" t="s">
        <v>1371</v>
      </c>
      <c r="E274" s="1" t="s">
        <v>1372</v>
      </c>
      <c r="F274" s="1" t="s">
        <v>21</v>
      </c>
      <c r="G274" s="5" t="s">
        <v>1373</v>
      </c>
      <c r="H274" s="1" t="s">
        <v>17</v>
      </c>
      <c r="I274" s="2">
        <v>46086</v>
      </c>
      <c r="J274" s="33">
        <f t="shared" si="47"/>
        <v>41005</v>
      </c>
      <c r="K274" s="3">
        <v>10258</v>
      </c>
      <c r="L274" s="3">
        <v>26414</v>
      </c>
      <c r="M274" s="3">
        <v>3333</v>
      </c>
      <c r="N274" s="3">
        <v>0</v>
      </c>
      <c r="O274" s="3">
        <v>1000</v>
      </c>
      <c r="P274" s="1" t="s">
        <v>1374</v>
      </c>
      <c r="Q274" s="3">
        <v>29400</v>
      </c>
      <c r="R274" s="25">
        <f t="shared" si="48"/>
        <v>0.71698573344714056</v>
      </c>
      <c r="S274" s="32">
        <f>Q274</f>
        <v>29400</v>
      </c>
      <c r="T274" s="31">
        <f t="shared" si="49"/>
        <v>-11605</v>
      </c>
      <c r="U274" s="1" t="s">
        <v>3616</v>
      </c>
      <c r="V274" s="16"/>
      <c r="W274" s="30">
        <f t="shared" si="51"/>
        <v>0</v>
      </c>
      <c r="X274" s="27">
        <f t="shared" si="50"/>
        <v>0.71698573344714056</v>
      </c>
      <c r="Y274" s="18"/>
      <c r="Z274" s="19"/>
    </row>
    <row r="275" spans="1:26" x14ac:dyDescent="0.35">
      <c r="A275" s="29">
        <v>1</v>
      </c>
      <c r="B275" s="1" t="s">
        <v>3619</v>
      </c>
      <c r="C275" s="1"/>
      <c r="D275" s="1" t="s">
        <v>1347</v>
      </c>
      <c r="E275" s="1" t="s">
        <v>1348</v>
      </c>
      <c r="F275" s="1" t="s">
        <v>21</v>
      </c>
      <c r="G275" s="5" t="s">
        <v>1349</v>
      </c>
      <c r="H275" s="1" t="s">
        <v>17</v>
      </c>
      <c r="I275" s="2">
        <v>46086</v>
      </c>
      <c r="J275" s="33">
        <f t="shared" si="47"/>
        <v>549649</v>
      </c>
      <c r="K275" s="3">
        <v>70273</v>
      </c>
      <c r="L275" s="3">
        <v>432921</v>
      </c>
      <c r="M275" s="3">
        <v>45455</v>
      </c>
      <c r="N275" s="3">
        <v>0</v>
      </c>
      <c r="O275" s="3">
        <v>1000</v>
      </c>
      <c r="P275" s="1" t="s">
        <v>1350</v>
      </c>
      <c r="Q275" s="3">
        <v>554351</v>
      </c>
      <c r="R275" s="25">
        <f t="shared" si="48"/>
        <v>1.0085545502675344</v>
      </c>
      <c r="S275" s="32">
        <f>J275</f>
        <v>549649</v>
      </c>
      <c r="T275" s="3">
        <f t="shared" si="49"/>
        <v>0</v>
      </c>
      <c r="U275" s="1" t="s">
        <v>3615</v>
      </c>
      <c r="V275" s="16">
        <v>1</v>
      </c>
      <c r="W275" s="28">
        <f t="shared" si="51"/>
        <v>1</v>
      </c>
      <c r="X275" s="27">
        <f t="shared" si="50"/>
        <v>1</v>
      </c>
      <c r="Y275" s="18"/>
      <c r="Z275" s="19"/>
    </row>
    <row r="276" spans="1:26" x14ac:dyDescent="0.35">
      <c r="A276" s="29">
        <v>1</v>
      </c>
      <c r="B276" s="1" t="s">
        <v>3619</v>
      </c>
      <c r="C276" s="1"/>
      <c r="D276" s="1" t="s">
        <v>1262</v>
      </c>
      <c r="E276" s="1" t="s">
        <v>1263</v>
      </c>
      <c r="F276" s="1" t="s">
        <v>21</v>
      </c>
      <c r="G276" s="5" t="s">
        <v>1264</v>
      </c>
      <c r="H276" s="1" t="s">
        <v>32</v>
      </c>
      <c r="I276" s="2">
        <v>46086</v>
      </c>
      <c r="J276" s="33">
        <f t="shared" si="47"/>
        <v>113761</v>
      </c>
      <c r="K276" s="3">
        <v>27030</v>
      </c>
      <c r="L276" s="3">
        <v>77398</v>
      </c>
      <c r="M276" s="3">
        <v>8333</v>
      </c>
      <c r="N276" s="3">
        <v>0</v>
      </c>
      <c r="O276" s="3">
        <v>1000</v>
      </c>
      <c r="P276" s="1" t="s">
        <v>1265</v>
      </c>
      <c r="Q276" s="3">
        <v>199861</v>
      </c>
      <c r="R276" s="25">
        <f t="shared" si="48"/>
        <v>1.7568498870438902</v>
      </c>
      <c r="S276" s="32">
        <f>J276</f>
        <v>113761</v>
      </c>
      <c r="T276" s="3">
        <f t="shared" si="49"/>
        <v>0</v>
      </c>
      <c r="U276" s="1" t="s">
        <v>3615</v>
      </c>
      <c r="V276" s="16">
        <v>1</v>
      </c>
      <c r="W276" s="28">
        <f t="shared" si="51"/>
        <v>1</v>
      </c>
      <c r="X276" s="27">
        <f t="shared" si="50"/>
        <v>1</v>
      </c>
      <c r="Y276" s="18"/>
      <c r="Z276" s="19"/>
    </row>
    <row r="277" spans="1:26" x14ac:dyDescent="0.35">
      <c r="A277" s="29">
        <v>1</v>
      </c>
      <c r="B277" s="1" t="s">
        <v>3619</v>
      </c>
      <c r="C277" s="1"/>
      <c r="D277" s="1" t="s">
        <v>1258</v>
      </c>
      <c r="E277" s="1" t="s">
        <v>1259</v>
      </c>
      <c r="F277" s="1" t="s">
        <v>21</v>
      </c>
      <c r="G277" s="5" t="s">
        <v>1260</v>
      </c>
      <c r="H277" s="1" t="s">
        <v>32</v>
      </c>
      <c r="I277" s="2">
        <v>46086</v>
      </c>
      <c r="J277" s="33">
        <f t="shared" si="47"/>
        <v>163157</v>
      </c>
      <c r="K277" s="3">
        <v>18177</v>
      </c>
      <c r="L277" s="3">
        <v>131480</v>
      </c>
      <c r="M277" s="3">
        <v>12500</v>
      </c>
      <c r="N277" s="3">
        <v>0</v>
      </c>
      <c r="O277" s="3">
        <v>1000</v>
      </c>
      <c r="P277" s="1" t="s">
        <v>1261</v>
      </c>
      <c r="Q277" s="3">
        <v>344681</v>
      </c>
      <c r="R277" s="25">
        <f t="shared" si="48"/>
        <v>2.112572552817225</v>
      </c>
      <c r="S277" s="32">
        <f>J277</f>
        <v>163157</v>
      </c>
      <c r="T277" s="3">
        <f t="shared" si="49"/>
        <v>0</v>
      </c>
      <c r="U277" s="1" t="s">
        <v>3615</v>
      </c>
      <c r="V277" s="16">
        <v>1</v>
      </c>
      <c r="W277" s="28">
        <f t="shared" si="51"/>
        <v>1</v>
      </c>
      <c r="X277" s="27">
        <f t="shared" si="50"/>
        <v>1</v>
      </c>
      <c r="Y277" s="18"/>
      <c r="Z277" s="19"/>
    </row>
    <row r="278" spans="1:26" x14ac:dyDescent="0.35">
      <c r="A278" s="29">
        <v>1</v>
      </c>
      <c r="B278" s="1" t="s">
        <v>3619</v>
      </c>
      <c r="C278" s="1"/>
      <c r="D278" s="1" t="s">
        <v>1246</v>
      </c>
      <c r="E278" s="1" t="s">
        <v>1247</v>
      </c>
      <c r="F278" s="1" t="s">
        <v>21</v>
      </c>
      <c r="G278" s="5" t="s">
        <v>1248</v>
      </c>
      <c r="H278" s="1" t="s">
        <v>1240</v>
      </c>
      <c r="I278" s="2">
        <v>46086</v>
      </c>
      <c r="J278" s="33">
        <f t="shared" si="47"/>
        <v>541524</v>
      </c>
      <c r="K278" s="3">
        <v>60588</v>
      </c>
      <c r="L278" s="3">
        <v>438269</v>
      </c>
      <c r="M278" s="3">
        <v>41667</v>
      </c>
      <c r="N278" s="3">
        <v>0</v>
      </c>
      <c r="O278" s="3">
        <v>1000</v>
      </c>
      <c r="P278" s="1" t="s">
        <v>1249</v>
      </c>
      <c r="Q278" s="3">
        <v>24867</v>
      </c>
      <c r="R278" s="25">
        <f t="shared" si="48"/>
        <v>4.5920402419837344E-2</v>
      </c>
      <c r="S278" s="32">
        <f>Q278</f>
        <v>24867</v>
      </c>
      <c r="T278" s="31">
        <f t="shared" si="49"/>
        <v>-516657</v>
      </c>
      <c r="U278" s="1" t="s">
        <v>3616</v>
      </c>
      <c r="V278" s="16"/>
      <c r="W278" s="30">
        <f t="shared" si="51"/>
        <v>0</v>
      </c>
      <c r="X278" s="27">
        <f t="shared" si="50"/>
        <v>4.5920402419837344E-2</v>
      </c>
      <c r="Y278" s="18"/>
      <c r="Z278" s="19"/>
    </row>
    <row r="279" spans="1:26" x14ac:dyDescent="0.35">
      <c r="A279" s="29">
        <v>1</v>
      </c>
      <c r="B279" s="1" t="s">
        <v>3619</v>
      </c>
      <c r="C279" s="1"/>
      <c r="D279" s="1" t="s">
        <v>1270</v>
      </c>
      <c r="E279" s="1" t="s">
        <v>1271</v>
      </c>
      <c r="F279" s="1" t="s">
        <v>21</v>
      </c>
      <c r="G279" s="5" t="s">
        <v>1272</v>
      </c>
      <c r="H279" s="1" t="s">
        <v>17</v>
      </c>
      <c r="I279" s="2">
        <v>46086</v>
      </c>
      <c r="J279" s="33">
        <f t="shared" si="47"/>
        <v>55053</v>
      </c>
      <c r="K279" s="3">
        <v>6678</v>
      </c>
      <c r="L279" s="3">
        <v>43208</v>
      </c>
      <c r="M279" s="3">
        <v>4167</v>
      </c>
      <c r="N279" s="3">
        <v>0</v>
      </c>
      <c r="O279" s="3">
        <v>1000</v>
      </c>
      <c r="P279" s="1" t="s">
        <v>1273</v>
      </c>
      <c r="Q279" s="3">
        <v>89348</v>
      </c>
      <c r="R279" s="25">
        <f t="shared" si="48"/>
        <v>1.6229451619348627</v>
      </c>
      <c r="S279" s="32">
        <f>J279</f>
        <v>55053</v>
      </c>
      <c r="T279" s="3">
        <f t="shared" si="49"/>
        <v>0</v>
      </c>
      <c r="U279" s="1" t="s">
        <v>3615</v>
      </c>
      <c r="V279" s="16">
        <v>1</v>
      </c>
      <c r="W279" s="28">
        <f t="shared" si="51"/>
        <v>1</v>
      </c>
      <c r="X279" s="27">
        <f t="shared" si="50"/>
        <v>1</v>
      </c>
      <c r="Y279" s="18"/>
      <c r="Z279" s="19"/>
    </row>
    <row r="280" spans="1:26" x14ac:dyDescent="0.35">
      <c r="A280" s="29">
        <v>1</v>
      </c>
      <c r="B280" s="1" t="s">
        <v>3619</v>
      </c>
      <c r="C280" s="1"/>
      <c r="D280" s="1" t="s">
        <v>979</v>
      </c>
      <c r="E280" s="1" t="s">
        <v>980</v>
      </c>
      <c r="F280" s="1" t="s">
        <v>21</v>
      </c>
      <c r="G280" s="5" t="s">
        <v>981</v>
      </c>
      <c r="H280" s="1" t="s">
        <v>17</v>
      </c>
      <c r="I280" s="2">
        <v>46086</v>
      </c>
      <c r="J280" s="33">
        <f t="shared" si="47"/>
        <v>41005</v>
      </c>
      <c r="K280" s="3">
        <v>8088</v>
      </c>
      <c r="L280" s="3">
        <v>28584</v>
      </c>
      <c r="M280" s="3">
        <v>3333</v>
      </c>
      <c r="N280" s="3">
        <v>0</v>
      </c>
      <c r="O280" s="3">
        <v>1000</v>
      </c>
      <c r="P280" s="1" t="s">
        <v>982</v>
      </c>
      <c r="Q280" s="3">
        <v>100400</v>
      </c>
      <c r="R280" s="25">
        <f t="shared" si="48"/>
        <v>2.4484818924521399</v>
      </c>
      <c r="S280" s="32">
        <f>J280</f>
        <v>41005</v>
      </c>
      <c r="T280" s="3">
        <f t="shared" si="49"/>
        <v>0</v>
      </c>
      <c r="U280" s="1" t="s">
        <v>3615</v>
      </c>
      <c r="V280" s="16">
        <v>1</v>
      </c>
      <c r="W280" s="28">
        <f t="shared" si="51"/>
        <v>1</v>
      </c>
      <c r="X280" s="27">
        <f t="shared" si="50"/>
        <v>1</v>
      </c>
      <c r="Y280" s="18"/>
      <c r="Z280" s="19"/>
    </row>
    <row r="281" spans="1:26" x14ac:dyDescent="0.35">
      <c r="A281" s="29">
        <v>1</v>
      </c>
      <c r="B281" s="1" t="s">
        <v>3619</v>
      </c>
      <c r="C281" s="1"/>
      <c r="D281" s="1" t="s">
        <v>1254</v>
      </c>
      <c r="E281" s="1" t="s">
        <v>1255</v>
      </c>
      <c r="F281" s="1" t="s">
        <v>21</v>
      </c>
      <c r="G281" s="5" t="s">
        <v>1256</v>
      </c>
      <c r="H281" s="1" t="s">
        <v>17</v>
      </c>
      <c r="I281" s="2">
        <v>46086</v>
      </c>
      <c r="J281" s="33">
        <f t="shared" si="47"/>
        <v>50686</v>
      </c>
      <c r="K281" s="3">
        <v>5841</v>
      </c>
      <c r="L281" s="3">
        <v>39999</v>
      </c>
      <c r="M281" s="3">
        <v>3846</v>
      </c>
      <c r="N281" s="3">
        <v>0</v>
      </c>
      <c r="O281" s="3">
        <v>1000</v>
      </c>
      <c r="P281" s="1" t="s">
        <v>1257</v>
      </c>
      <c r="Q281" s="3">
        <v>117838</v>
      </c>
      <c r="R281" s="25">
        <f t="shared" si="48"/>
        <v>2.3248628812689893</v>
      </c>
      <c r="S281" s="32">
        <f>J281</f>
        <v>50686</v>
      </c>
      <c r="T281" s="3">
        <f t="shared" si="49"/>
        <v>0</v>
      </c>
      <c r="U281" s="1" t="s">
        <v>3615</v>
      </c>
      <c r="V281" s="16">
        <v>1</v>
      </c>
      <c r="W281" s="28">
        <f t="shared" si="51"/>
        <v>1</v>
      </c>
      <c r="X281" s="27">
        <f t="shared" si="50"/>
        <v>1</v>
      </c>
      <c r="Y281" s="18"/>
      <c r="Z281" s="19"/>
    </row>
    <row r="282" spans="1:26" x14ac:dyDescent="0.35">
      <c r="A282" s="29">
        <v>1</v>
      </c>
      <c r="B282" s="1" t="s">
        <v>3619</v>
      </c>
      <c r="C282" s="1"/>
      <c r="D282" s="1" t="s">
        <v>1274</v>
      </c>
      <c r="E282" s="1" t="s">
        <v>1275</v>
      </c>
      <c r="F282" s="1" t="s">
        <v>21</v>
      </c>
      <c r="G282" s="5" t="s">
        <v>1276</v>
      </c>
      <c r="H282" s="1" t="s">
        <v>17</v>
      </c>
      <c r="I282" s="2">
        <v>46086</v>
      </c>
      <c r="J282" s="33">
        <f t="shared" si="47"/>
        <v>598120</v>
      </c>
      <c r="K282" s="3">
        <v>79975</v>
      </c>
      <c r="L282" s="3">
        <v>471690</v>
      </c>
      <c r="M282" s="3">
        <v>45455</v>
      </c>
      <c r="N282" s="3">
        <v>0</v>
      </c>
      <c r="O282" s="3">
        <v>1000</v>
      </c>
      <c r="P282" s="1" t="s">
        <v>1277</v>
      </c>
      <c r="Q282" s="3">
        <v>4235</v>
      </c>
      <c r="R282" s="25">
        <f t="shared" si="48"/>
        <v>7.0805189594061397E-3</v>
      </c>
      <c r="S282" s="32">
        <f>Q282</f>
        <v>4235</v>
      </c>
      <c r="T282" s="31">
        <f t="shared" si="49"/>
        <v>-593885</v>
      </c>
      <c r="U282" s="1" t="s">
        <v>3616</v>
      </c>
      <c r="V282" s="16"/>
      <c r="W282" s="30">
        <f t="shared" si="51"/>
        <v>0</v>
      </c>
      <c r="X282" s="27">
        <f t="shared" si="50"/>
        <v>7.0805189594061397E-3</v>
      </c>
      <c r="Y282" s="18"/>
      <c r="Z282" s="19"/>
    </row>
    <row r="283" spans="1:26" x14ac:dyDescent="0.35">
      <c r="A283" s="29">
        <v>1</v>
      </c>
      <c r="B283" s="1" t="s">
        <v>3619</v>
      </c>
      <c r="C283" s="1"/>
      <c r="D283" s="1" t="s">
        <v>1237</v>
      </c>
      <c r="E283" s="1" t="s">
        <v>1238</v>
      </c>
      <c r="F283" s="1" t="s">
        <v>21</v>
      </c>
      <c r="G283" s="5" t="s">
        <v>1239</v>
      </c>
      <c r="H283" s="1" t="s">
        <v>1240</v>
      </c>
      <c r="I283" s="2">
        <v>46086</v>
      </c>
      <c r="J283" s="33">
        <f t="shared" ref="J283:J314" si="52">SUM(K283:O283)</f>
        <v>110775</v>
      </c>
      <c r="K283" s="3">
        <v>12992</v>
      </c>
      <c r="L283" s="3">
        <v>87692</v>
      </c>
      <c r="M283" s="3">
        <v>9091</v>
      </c>
      <c r="N283" s="3">
        <v>0</v>
      </c>
      <c r="O283" s="3">
        <v>1000</v>
      </c>
      <c r="P283" s="1" t="s">
        <v>1241</v>
      </c>
      <c r="Q283" s="3">
        <v>7940</v>
      </c>
      <c r="R283" s="25">
        <f t="shared" ref="R283:R314" si="53">Q283/J283</f>
        <v>7.1676822387722855E-2</v>
      </c>
      <c r="S283" s="32">
        <f>Q283</f>
        <v>7940</v>
      </c>
      <c r="T283" s="31">
        <f t="shared" ref="T283:T314" si="54">S283-J283</f>
        <v>-102835</v>
      </c>
      <c r="U283" s="1" t="s">
        <v>3616</v>
      </c>
      <c r="V283" s="16"/>
      <c r="W283" s="30">
        <f t="shared" si="51"/>
        <v>0</v>
      </c>
      <c r="X283" s="27">
        <f t="shared" ref="X283:X307" si="55">S283/J283</f>
        <v>7.1676822387722855E-2</v>
      </c>
      <c r="Y283" s="18"/>
      <c r="Z283" s="19"/>
    </row>
    <row r="284" spans="1:26" x14ac:dyDescent="0.35">
      <c r="A284" s="29">
        <v>1</v>
      </c>
      <c r="B284" s="1" t="s">
        <v>3619</v>
      </c>
      <c r="C284" s="1"/>
      <c r="D284" s="1" t="s">
        <v>1278</v>
      </c>
      <c r="E284" s="1" t="s">
        <v>1279</v>
      </c>
      <c r="F284" s="1" t="s">
        <v>21</v>
      </c>
      <c r="G284" s="5" t="s">
        <v>1280</v>
      </c>
      <c r="H284" s="1" t="s">
        <v>17</v>
      </c>
      <c r="I284" s="2">
        <v>46086</v>
      </c>
      <c r="J284" s="33">
        <f t="shared" si="52"/>
        <v>54814</v>
      </c>
      <c r="K284" s="3">
        <v>6324</v>
      </c>
      <c r="L284" s="3">
        <v>43323</v>
      </c>
      <c r="M284" s="3">
        <v>4167</v>
      </c>
      <c r="N284" s="3">
        <v>0</v>
      </c>
      <c r="O284" s="3">
        <v>1000</v>
      </c>
      <c r="P284" s="1" t="s">
        <v>1281</v>
      </c>
      <c r="Q284" s="3">
        <v>68675</v>
      </c>
      <c r="R284" s="25">
        <f t="shared" si="53"/>
        <v>1.2528733535228227</v>
      </c>
      <c r="S284" s="32">
        <f>J284</f>
        <v>54814</v>
      </c>
      <c r="T284" s="3">
        <f t="shared" si="54"/>
        <v>0</v>
      </c>
      <c r="U284" s="1" t="s">
        <v>3615</v>
      </c>
      <c r="V284" s="16">
        <v>1</v>
      </c>
      <c r="W284" s="28">
        <f t="shared" si="51"/>
        <v>1</v>
      </c>
      <c r="X284" s="27">
        <f t="shared" si="55"/>
        <v>1</v>
      </c>
      <c r="Y284" s="18"/>
      <c r="Z284" s="19"/>
    </row>
    <row r="285" spans="1:26" x14ac:dyDescent="0.35">
      <c r="A285" s="29">
        <v>1</v>
      </c>
      <c r="B285" s="1" t="s">
        <v>3619</v>
      </c>
      <c r="C285" s="1"/>
      <c r="D285" s="1" t="s">
        <v>1172</v>
      </c>
      <c r="E285" s="1" t="s">
        <v>1173</v>
      </c>
      <c r="F285" s="1" t="s">
        <v>21</v>
      </c>
      <c r="G285" s="5" t="s">
        <v>1174</v>
      </c>
      <c r="H285" s="1" t="s">
        <v>17</v>
      </c>
      <c r="I285" s="2">
        <v>46086</v>
      </c>
      <c r="J285" s="33">
        <f t="shared" si="52"/>
        <v>347807</v>
      </c>
      <c r="K285" s="3">
        <v>108493</v>
      </c>
      <c r="L285" s="3">
        <v>210536</v>
      </c>
      <c r="M285" s="3">
        <v>27778</v>
      </c>
      <c r="N285" s="3">
        <v>0</v>
      </c>
      <c r="O285" s="3">
        <v>1000</v>
      </c>
      <c r="P285" s="1" t="s">
        <v>1175</v>
      </c>
      <c r="Q285" s="3">
        <v>2400</v>
      </c>
      <c r="R285" s="25">
        <f t="shared" si="53"/>
        <v>6.9003786582788728E-3</v>
      </c>
      <c r="S285" s="32">
        <f>Q285</f>
        <v>2400</v>
      </c>
      <c r="T285" s="31">
        <f t="shared" si="54"/>
        <v>-345407</v>
      </c>
      <c r="U285" s="1" t="s">
        <v>3616</v>
      </c>
      <c r="V285" s="16"/>
      <c r="W285" s="30">
        <f t="shared" si="51"/>
        <v>0</v>
      </c>
      <c r="X285" s="27">
        <f t="shared" si="55"/>
        <v>6.9003786582788728E-3</v>
      </c>
      <c r="Y285" s="18"/>
      <c r="Z285" s="19"/>
    </row>
    <row r="286" spans="1:26" x14ac:dyDescent="0.35">
      <c r="A286" s="29">
        <v>1</v>
      </c>
      <c r="B286" s="1" t="s">
        <v>3619</v>
      </c>
      <c r="C286" s="1"/>
      <c r="D286" s="1" t="s">
        <v>942</v>
      </c>
      <c r="E286" s="1" t="s">
        <v>943</v>
      </c>
      <c r="F286" s="1" t="s">
        <v>21</v>
      </c>
      <c r="G286" s="5" t="s">
        <v>944</v>
      </c>
      <c r="H286" s="1" t="s">
        <v>17</v>
      </c>
      <c r="I286" s="2">
        <v>46086</v>
      </c>
      <c r="J286" s="33">
        <f t="shared" si="52"/>
        <v>140678</v>
      </c>
      <c r="K286" s="3">
        <v>27853</v>
      </c>
      <c r="L286" s="3">
        <v>100714</v>
      </c>
      <c r="M286" s="3">
        <v>11111</v>
      </c>
      <c r="N286" s="3">
        <v>0</v>
      </c>
      <c r="O286" s="3">
        <v>1000</v>
      </c>
      <c r="P286" s="1" t="s">
        <v>945</v>
      </c>
      <c r="Q286" s="3">
        <v>121922</v>
      </c>
      <c r="R286" s="25">
        <f t="shared" si="53"/>
        <v>0.8666742489941569</v>
      </c>
      <c r="S286" s="32">
        <f>Q286</f>
        <v>121922</v>
      </c>
      <c r="T286" s="31">
        <f t="shared" si="54"/>
        <v>-18756</v>
      </c>
      <c r="U286" s="1" t="s">
        <v>3616</v>
      </c>
      <c r="V286" s="16"/>
      <c r="W286" s="30">
        <f t="shared" si="51"/>
        <v>0</v>
      </c>
      <c r="X286" s="27">
        <f t="shared" si="55"/>
        <v>0.8666742489941569</v>
      </c>
      <c r="Y286" s="18"/>
      <c r="Z286" s="19"/>
    </row>
    <row r="287" spans="1:26" x14ac:dyDescent="0.35">
      <c r="A287" s="29">
        <v>1</v>
      </c>
      <c r="B287" s="1" t="s">
        <v>3619</v>
      </c>
      <c r="C287" s="1"/>
      <c r="D287" s="1" t="s">
        <v>1351</v>
      </c>
      <c r="E287" s="1" t="s">
        <v>1352</v>
      </c>
      <c r="F287" s="1" t="s">
        <v>21</v>
      </c>
      <c r="G287" s="5" t="s">
        <v>1353</v>
      </c>
      <c r="H287" s="1" t="s">
        <v>17</v>
      </c>
      <c r="I287" s="2">
        <v>46086</v>
      </c>
      <c r="J287" s="33">
        <f t="shared" si="52"/>
        <v>51007</v>
      </c>
      <c r="K287" s="3">
        <v>5315</v>
      </c>
      <c r="L287" s="3">
        <v>40525</v>
      </c>
      <c r="M287" s="3">
        <v>4167</v>
      </c>
      <c r="N287" s="3">
        <v>0</v>
      </c>
      <c r="O287" s="3">
        <v>1000</v>
      </c>
      <c r="P287" s="1" t="s">
        <v>1354</v>
      </c>
      <c r="Q287" s="3">
        <v>61479</v>
      </c>
      <c r="R287" s="25">
        <f t="shared" si="53"/>
        <v>1.2053051541945223</v>
      </c>
      <c r="S287" s="32">
        <f>J287</f>
        <v>51007</v>
      </c>
      <c r="T287" s="3">
        <f t="shared" si="54"/>
        <v>0</v>
      </c>
      <c r="U287" s="1" t="s">
        <v>3615</v>
      </c>
      <c r="V287" s="16">
        <v>1</v>
      </c>
      <c r="W287" s="28">
        <f t="shared" si="51"/>
        <v>1</v>
      </c>
      <c r="X287" s="27">
        <f t="shared" si="55"/>
        <v>1</v>
      </c>
      <c r="Y287" s="18"/>
      <c r="Z287" s="19"/>
    </row>
    <row r="288" spans="1:26" x14ac:dyDescent="0.35">
      <c r="A288" s="29">
        <v>1</v>
      </c>
      <c r="B288" s="1" t="s">
        <v>3619</v>
      </c>
      <c r="C288" s="1"/>
      <c r="D288" s="1" t="s">
        <v>1121</v>
      </c>
      <c r="E288" s="1" t="s">
        <v>1122</v>
      </c>
      <c r="F288" s="1" t="s">
        <v>21</v>
      </c>
      <c r="G288" s="5" t="s">
        <v>1123</v>
      </c>
      <c r="H288" s="1" t="s">
        <v>17</v>
      </c>
      <c r="I288" s="2">
        <v>46086</v>
      </c>
      <c r="J288" s="33">
        <f t="shared" si="52"/>
        <v>101013</v>
      </c>
      <c r="K288" s="3">
        <v>12869</v>
      </c>
      <c r="L288" s="3">
        <v>78811</v>
      </c>
      <c r="M288" s="3">
        <v>8333</v>
      </c>
      <c r="N288" s="3">
        <v>0</v>
      </c>
      <c r="O288" s="3">
        <v>1000</v>
      </c>
      <c r="P288" s="1" t="s">
        <v>1124</v>
      </c>
      <c r="Q288" s="3">
        <v>107587</v>
      </c>
      <c r="R288" s="25">
        <f t="shared" si="53"/>
        <v>1.0650807321829863</v>
      </c>
      <c r="S288" s="32">
        <f>J288</f>
        <v>101013</v>
      </c>
      <c r="T288" s="3">
        <f t="shared" si="54"/>
        <v>0</v>
      </c>
      <c r="U288" s="1" t="s">
        <v>3615</v>
      </c>
      <c r="V288" s="16">
        <v>1</v>
      </c>
      <c r="W288" s="28">
        <f t="shared" si="51"/>
        <v>1</v>
      </c>
      <c r="X288" s="27">
        <f t="shared" si="55"/>
        <v>1</v>
      </c>
      <c r="Y288" s="18"/>
      <c r="Z288" s="19"/>
    </row>
    <row r="289" spans="1:26" x14ac:dyDescent="0.35">
      <c r="A289" s="29">
        <v>1</v>
      </c>
      <c r="B289" s="1" t="s">
        <v>3619</v>
      </c>
      <c r="C289" s="1"/>
      <c r="D289" s="1" t="s">
        <v>1065</v>
      </c>
      <c r="E289" s="1" t="s">
        <v>1066</v>
      </c>
      <c r="F289" s="1" t="s">
        <v>21</v>
      </c>
      <c r="G289" s="5" t="s">
        <v>1067</v>
      </c>
      <c r="H289" s="1" t="s">
        <v>32</v>
      </c>
      <c r="I289" s="2">
        <v>46086</v>
      </c>
      <c r="J289" s="33">
        <f t="shared" si="52"/>
        <v>384985</v>
      </c>
      <c r="K289" s="3">
        <v>68861</v>
      </c>
      <c r="L289" s="3">
        <v>287346</v>
      </c>
      <c r="M289" s="3">
        <v>27778</v>
      </c>
      <c r="N289" s="3">
        <v>0</v>
      </c>
      <c r="O289" s="3">
        <v>1000</v>
      </c>
      <c r="P289" s="1" t="s">
        <v>1068</v>
      </c>
      <c r="Q289" s="3">
        <v>411240</v>
      </c>
      <c r="R289" s="25">
        <f t="shared" si="53"/>
        <v>1.0681974622387884</v>
      </c>
      <c r="S289" s="32">
        <f>J289</f>
        <v>384985</v>
      </c>
      <c r="T289" s="3">
        <f t="shared" si="54"/>
        <v>0</v>
      </c>
      <c r="U289" s="1" t="s">
        <v>3615</v>
      </c>
      <c r="V289" s="16">
        <v>1</v>
      </c>
      <c r="W289" s="28">
        <f t="shared" si="51"/>
        <v>1</v>
      </c>
      <c r="X289" s="27">
        <f t="shared" si="55"/>
        <v>1</v>
      </c>
      <c r="Y289" s="18"/>
      <c r="Z289" s="19"/>
    </row>
    <row r="290" spans="1:26" x14ac:dyDescent="0.35">
      <c r="A290" s="29">
        <v>1</v>
      </c>
      <c r="B290" s="1" t="s">
        <v>3619</v>
      </c>
      <c r="C290" s="1"/>
      <c r="D290" s="1" t="s">
        <v>1012</v>
      </c>
      <c r="E290" s="1" t="s">
        <v>1013</v>
      </c>
      <c r="F290" s="1" t="s">
        <v>21</v>
      </c>
      <c r="G290" s="5" t="s">
        <v>1014</v>
      </c>
      <c r="H290" s="1" t="s">
        <v>17</v>
      </c>
      <c r="I290" s="2">
        <v>46086</v>
      </c>
      <c r="J290" s="33">
        <f t="shared" si="52"/>
        <v>21003</v>
      </c>
      <c r="K290" s="3">
        <v>3551</v>
      </c>
      <c r="L290" s="3">
        <v>14785</v>
      </c>
      <c r="M290" s="3">
        <v>1667</v>
      </c>
      <c r="N290" s="3">
        <v>0</v>
      </c>
      <c r="O290" s="3">
        <v>1000</v>
      </c>
      <c r="P290" s="1" t="s">
        <v>1015</v>
      </c>
      <c r="Q290" s="3">
        <v>28000</v>
      </c>
      <c r="R290" s="25">
        <f t="shared" si="53"/>
        <v>1.3331428843498547</v>
      </c>
      <c r="S290" s="32">
        <f>J290</f>
        <v>21003</v>
      </c>
      <c r="T290" s="3">
        <f t="shared" si="54"/>
        <v>0</v>
      </c>
      <c r="U290" s="1" t="s">
        <v>3615</v>
      </c>
      <c r="V290" s="16">
        <v>1</v>
      </c>
      <c r="W290" s="28">
        <f t="shared" si="51"/>
        <v>1</v>
      </c>
      <c r="X290" s="27">
        <f t="shared" si="55"/>
        <v>1</v>
      </c>
      <c r="Y290" s="18"/>
      <c r="Z290" s="19"/>
    </row>
    <row r="291" spans="1:26" x14ac:dyDescent="0.35">
      <c r="A291" s="29">
        <v>1</v>
      </c>
      <c r="B291" s="1" t="s">
        <v>3619</v>
      </c>
      <c r="C291" s="1"/>
      <c r="D291" s="1" t="s">
        <v>1004</v>
      </c>
      <c r="E291" s="1" t="s">
        <v>1005</v>
      </c>
      <c r="F291" s="1" t="s">
        <v>21</v>
      </c>
      <c r="G291" s="5" t="s">
        <v>1006</v>
      </c>
      <c r="H291" s="1" t="s">
        <v>17</v>
      </c>
      <c r="I291" s="2">
        <v>46086</v>
      </c>
      <c r="J291" s="33">
        <f t="shared" si="52"/>
        <v>31004</v>
      </c>
      <c r="K291" s="3">
        <v>3867</v>
      </c>
      <c r="L291" s="3">
        <v>23637</v>
      </c>
      <c r="M291" s="3">
        <v>2500</v>
      </c>
      <c r="N291" s="3">
        <v>0</v>
      </c>
      <c r="O291" s="3">
        <v>1000</v>
      </c>
      <c r="P291" s="1" t="s">
        <v>1007</v>
      </c>
      <c r="Q291" s="3">
        <v>30996</v>
      </c>
      <c r="R291" s="24">
        <f t="shared" si="53"/>
        <v>0.99974196877822219</v>
      </c>
      <c r="S291" s="32">
        <f>Q291</f>
        <v>30996</v>
      </c>
      <c r="T291" s="31">
        <f t="shared" si="54"/>
        <v>-8</v>
      </c>
      <c r="U291" s="1"/>
      <c r="V291" s="16"/>
      <c r="W291" s="30">
        <f t="shared" si="51"/>
        <v>0</v>
      </c>
      <c r="X291" s="27">
        <f t="shared" si="55"/>
        <v>0.99974196877822219</v>
      </c>
      <c r="Y291" s="18"/>
      <c r="Z291" s="19"/>
    </row>
    <row r="292" spans="1:26" x14ac:dyDescent="0.35">
      <c r="A292" s="29">
        <v>1</v>
      </c>
      <c r="B292" s="1" t="s">
        <v>3619</v>
      </c>
      <c r="C292" s="1"/>
      <c r="D292" s="1" t="s">
        <v>1286</v>
      </c>
      <c r="E292" s="1" t="s">
        <v>1287</v>
      </c>
      <c r="F292" s="1" t="s">
        <v>21</v>
      </c>
      <c r="G292" s="5" t="s">
        <v>1288</v>
      </c>
      <c r="H292" s="1" t="s">
        <v>17</v>
      </c>
      <c r="I292" s="2">
        <v>46086</v>
      </c>
      <c r="J292" s="33">
        <f t="shared" si="52"/>
        <v>108627</v>
      </c>
      <c r="K292" s="3">
        <v>13808</v>
      </c>
      <c r="L292" s="3">
        <v>85486</v>
      </c>
      <c r="M292" s="3">
        <v>8333</v>
      </c>
      <c r="N292" s="3">
        <v>0</v>
      </c>
      <c r="O292" s="3">
        <v>1000</v>
      </c>
      <c r="P292" s="1" t="s">
        <v>1289</v>
      </c>
      <c r="Q292" s="3">
        <v>245520</v>
      </c>
      <c r="R292" s="25">
        <f t="shared" si="53"/>
        <v>2.2602115496147368</v>
      </c>
      <c r="S292" s="32">
        <f>J292</f>
        <v>108627</v>
      </c>
      <c r="T292" s="3">
        <f t="shared" si="54"/>
        <v>0</v>
      </c>
      <c r="U292" s="1" t="s">
        <v>3615</v>
      </c>
      <c r="V292" s="16">
        <v>1</v>
      </c>
      <c r="W292" s="28">
        <f t="shared" si="51"/>
        <v>1</v>
      </c>
      <c r="X292" s="27">
        <f t="shared" si="55"/>
        <v>1</v>
      </c>
      <c r="Y292" s="18"/>
      <c r="Z292" s="19"/>
    </row>
    <row r="293" spans="1:26" x14ac:dyDescent="0.35">
      <c r="A293" s="29">
        <v>1</v>
      </c>
      <c r="B293" s="1" t="s">
        <v>3619</v>
      </c>
      <c r="C293" s="1"/>
      <c r="D293" s="1" t="s">
        <v>1016</v>
      </c>
      <c r="E293" s="1" t="s">
        <v>1017</v>
      </c>
      <c r="F293" s="1" t="s">
        <v>21</v>
      </c>
      <c r="G293" s="5" t="s">
        <v>1018</v>
      </c>
      <c r="H293" s="1" t="s">
        <v>17</v>
      </c>
      <c r="I293" s="2">
        <v>46086</v>
      </c>
      <c r="J293" s="33">
        <f t="shared" si="52"/>
        <v>151020</v>
      </c>
      <c r="K293" s="3">
        <v>31068</v>
      </c>
      <c r="L293" s="3">
        <v>106452</v>
      </c>
      <c r="M293" s="3">
        <v>12500</v>
      </c>
      <c r="N293" s="3">
        <v>0</v>
      </c>
      <c r="O293" s="3">
        <v>1000</v>
      </c>
      <c r="P293" s="1" t="s">
        <v>1019</v>
      </c>
      <c r="Q293" s="3">
        <v>160900</v>
      </c>
      <c r="R293" s="25">
        <f t="shared" si="53"/>
        <v>1.0654217984372931</v>
      </c>
      <c r="S293" s="32">
        <f>J293</f>
        <v>151020</v>
      </c>
      <c r="T293" s="3">
        <f t="shared" si="54"/>
        <v>0</v>
      </c>
      <c r="U293" s="1" t="s">
        <v>3615</v>
      </c>
      <c r="V293" s="16">
        <v>1</v>
      </c>
      <c r="W293" s="28">
        <f t="shared" si="51"/>
        <v>1</v>
      </c>
      <c r="X293" s="27">
        <f t="shared" si="55"/>
        <v>1</v>
      </c>
      <c r="Y293" s="18"/>
      <c r="Z293" s="19"/>
    </row>
    <row r="294" spans="1:26" x14ac:dyDescent="0.35">
      <c r="A294" s="29">
        <v>1</v>
      </c>
      <c r="B294" s="1" t="s">
        <v>3619</v>
      </c>
      <c r="C294" s="1"/>
      <c r="D294" s="1" t="s">
        <v>1125</v>
      </c>
      <c r="E294" s="1" t="s">
        <v>1126</v>
      </c>
      <c r="F294" s="1" t="s">
        <v>21</v>
      </c>
      <c r="G294" s="5" t="s">
        <v>1127</v>
      </c>
      <c r="H294" s="1" t="s">
        <v>17</v>
      </c>
      <c r="I294" s="2">
        <v>46086</v>
      </c>
      <c r="J294" s="33">
        <f t="shared" si="52"/>
        <v>401053</v>
      </c>
      <c r="K294" s="3">
        <v>51477</v>
      </c>
      <c r="L294" s="3">
        <v>315243</v>
      </c>
      <c r="M294" s="3">
        <v>33333</v>
      </c>
      <c r="N294" s="3">
        <v>0</v>
      </c>
      <c r="O294" s="3">
        <v>1000</v>
      </c>
      <c r="P294" s="1" t="s">
        <v>1128</v>
      </c>
      <c r="Q294" s="3">
        <v>84347</v>
      </c>
      <c r="R294" s="25">
        <f t="shared" si="53"/>
        <v>0.21031384879305229</v>
      </c>
      <c r="S294" s="32">
        <f>Q294</f>
        <v>84347</v>
      </c>
      <c r="T294" s="31">
        <f t="shared" si="54"/>
        <v>-316706</v>
      </c>
      <c r="U294" s="1" t="s">
        <v>3616</v>
      </c>
      <c r="V294" s="16"/>
      <c r="W294" s="30">
        <f t="shared" si="51"/>
        <v>0</v>
      </c>
      <c r="X294" s="27">
        <f t="shared" si="55"/>
        <v>0.21031384879305229</v>
      </c>
      <c r="Y294" s="18"/>
      <c r="Z294" s="19"/>
    </row>
    <row r="295" spans="1:26" x14ac:dyDescent="0.35">
      <c r="A295" s="29">
        <v>1</v>
      </c>
      <c r="B295" s="1" t="s">
        <v>3619</v>
      </c>
      <c r="C295" s="1"/>
      <c r="D295" s="1" t="s">
        <v>1294</v>
      </c>
      <c r="E295" s="1" t="s">
        <v>1295</v>
      </c>
      <c r="F295" s="1" t="s">
        <v>21</v>
      </c>
      <c r="G295" s="5" t="s">
        <v>1296</v>
      </c>
      <c r="H295" s="1" t="s">
        <v>32</v>
      </c>
      <c r="I295" s="2">
        <v>46086</v>
      </c>
      <c r="J295" s="33">
        <f t="shared" si="52"/>
        <v>122792</v>
      </c>
      <c r="K295" s="3">
        <v>20712</v>
      </c>
      <c r="L295" s="3">
        <v>91705</v>
      </c>
      <c r="M295" s="3">
        <v>9375</v>
      </c>
      <c r="N295" s="3">
        <v>0</v>
      </c>
      <c r="O295" s="3">
        <v>1000</v>
      </c>
      <c r="P295" s="1" t="s">
        <v>1297</v>
      </c>
      <c r="Q295" s="3">
        <v>257168</v>
      </c>
      <c r="R295" s="25">
        <f t="shared" si="53"/>
        <v>2.0943383933806761</v>
      </c>
      <c r="S295" s="32">
        <f>J295</f>
        <v>122792</v>
      </c>
      <c r="T295" s="3">
        <f t="shared" si="54"/>
        <v>0</v>
      </c>
      <c r="U295" s="1" t="s">
        <v>3615</v>
      </c>
      <c r="V295" s="16">
        <v>1</v>
      </c>
      <c r="W295" s="28">
        <f t="shared" si="51"/>
        <v>1</v>
      </c>
      <c r="X295" s="27">
        <f t="shared" si="55"/>
        <v>1</v>
      </c>
      <c r="Y295" s="18"/>
      <c r="Z295" s="19"/>
    </row>
    <row r="296" spans="1:26" x14ac:dyDescent="0.35">
      <c r="A296" s="29">
        <v>1</v>
      </c>
      <c r="B296" s="1" t="s">
        <v>3619</v>
      </c>
      <c r="C296" s="1"/>
      <c r="D296" s="1" t="s">
        <v>1302</v>
      </c>
      <c r="E296" s="1" t="s">
        <v>1303</v>
      </c>
      <c r="F296" s="1" t="s">
        <v>21</v>
      </c>
      <c r="G296" s="5" t="s">
        <v>1304</v>
      </c>
      <c r="H296" s="1" t="s">
        <v>17</v>
      </c>
      <c r="I296" s="2">
        <v>46086</v>
      </c>
      <c r="J296" s="33">
        <f t="shared" si="52"/>
        <v>13797</v>
      </c>
      <c r="K296" s="3">
        <v>8630</v>
      </c>
      <c r="L296" s="3">
        <v>0</v>
      </c>
      <c r="M296" s="3">
        <v>4167</v>
      </c>
      <c r="N296" s="3">
        <v>0</v>
      </c>
      <c r="O296" s="3">
        <v>1000</v>
      </c>
      <c r="P296" s="1" t="s">
        <v>1305</v>
      </c>
      <c r="Q296" s="3">
        <v>70700</v>
      </c>
      <c r="R296" s="25">
        <f t="shared" si="53"/>
        <v>5.1243023845763576</v>
      </c>
      <c r="S296" s="32">
        <f>J296</f>
        <v>13797</v>
      </c>
      <c r="T296" s="3">
        <f t="shared" si="54"/>
        <v>0</v>
      </c>
      <c r="U296" s="1" t="s">
        <v>3615</v>
      </c>
      <c r="V296" s="16">
        <v>1</v>
      </c>
      <c r="W296" s="28">
        <f t="shared" si="51"/>
        <v>1</v>
      </c>
      <c r="X296" s="27">
        <f t="shared" si="55"/>
        <v>1</v>
      </c>
      <c r="Y296" s="18"/>
      <c r="Z296" s="19"/>
    </row>
    <row r="297" spans="1:26" x14ac:dyDescent="0.35">
      <c r="A297" s="29">
        <v>1</v>
      </c>
      <c r="B297" s="1" t="s">
        <v>3619</v>
      </c>
      <c r="C297" s="1"/>
      <c r="D297" s="1" t="s">
        <v>1282</v>
      </c>
      <c r="E297" s="1" t="s">
        <v>1283</v>
      </c>
      <c r="F297" s="1" t="s">
        <v>21</v>
      </c>
      <c r="G297" s="5" t="s">
        <v>1284</v>
      </c>
      <c r="H297" s="1" t="s">
        <v>17</v>
      </c>
      <c r="I297" s="2">
        <v>46086</v>
      </c>
      <c r="J297" s="33">
        <f t="shared" si="52"/>
        <v>323882</v>
      </c>
      <c r="K297" s="3">
        <v>41425</v>
      </c>
      <c r="L297" s="3">
        <v>256457</v>
      </c>
      <c r="M297" s="3">
        <v>25000</v>
      </c>
      <c r="N297" s="3">
        <v>0</v>
      </c>
      <c r="O297" s="3">
        <v>1000</v>
      </c>
      <c r="P297" s="1" t="s">
        <v>1285</v>
      </c>
      <c r="Q297" s="3">
        <v>239484</v>
      </c>
      <c r="R297" s="25">
        <f t="shared" si="53"/>
        <v>0.73941744215485883</v>
      </c>
      <c r="S297" s="32">
        <f>Q297</f>
        <v>239484</v>
      </c>
      <c r="T297" s="31">
        <f t="shared" si="54"/>
        <v>-84398</v>
      </c>
      <c r="U297" s="1" t="s">
        <v>3616</v>
      </c>
      <c r="V297" s="16"/>
      <c r="W297" s="30">
        <f t="shared" si="51"/>
        <v>0</v>
      </c>
      <c r="X297" s="27">
        <f t="shared" si="55"/>
        <v>0.73941744215485883</v>
      </c>
      <c r="Y297" s="18"/>
      <c r="Z297" s="19"/>
    </row>
    <row r="298" spans="1:26" x14ac:dyDescent="0.35">
      <c r="A298" s="29">
        <v>1</v>
      </c>
      <c r="B298" s="1" t="s">
        <v>3619</v>
      </c>
      <c r="C298" s="1"/>
      <c r="D298" s="1" t="s">
        <v>1008</v>
      </c>
      <c r="E298" s="1" t="s">
        <v>1009</v>
      </c>
      <c r="F298" s="1" t="s">
        <v>21</v>
      </c>
      <c r="G298" s="5" t="s">
        <v>1010</v>
      </c>
      <c r="H298" s="1" t="s">
        <v>32</v>
      </c>
      <c r="I298" s="2">
        <v>46086</v>
      </c>
      <c r="J298" s="33">
        <f t="shared" si="52"/>
        <v>302470</v>
      </c>
      <c r="K298" s="3">
        <v>40834</v>
      </c>
      <c r="L298" s="3">
        <v>235636</v>
      </c>
      <c r="M298" s="3">
        <v>25000</v>
      </c>
      <c r="N298" s="3">
        <v>0</v>
      </c>
      <c r="O298" s="3">
        <v>1000</v>
      </c>
      <c r="P298" s="1" t="s">
        <v>1011</v>
      </c>
      <c r="Q298" s="3">
        <v>234862</v>
      </c>
      <c r="R298" s="25">
        <f t="shared" si="53"/>
        <v>0.77648031209706747</v>
      </c>
      <c r="S298" s="32">
        <f>Q298</f>
        <v>234862</v>
      </c>
      <c r="T298" s="31">
        <f t="shared" si="54"/>
        <v>-67608</v>
      </c>
      <c r="U298" s="1" t="s">
        <v>3616</v>
      </c>
      <c r="V298" s="16"/>
      <c r="W298" s="30">
        <f t="shared" si="51"/>
        <v>0</v>
      </c>
      <c r="X298" s="27">
        <f t="shared" si="55"/>
        <v>0.77648031209706747</v>
      </c>
      <c r="Y298" s="18"/>
      <c r="Z298" s="19"/>
    </row>
    <row r="299" spans="1:26" x14ac:dyDescent="0.35">
      <c r="A299" s="29">
        <v>1</v>
      </c>
      <c r="B299" s="1" t="s">
        <v>3619</v>
      </c>
      <c r="C299" s="1"/>
      <c r="D299" s="1" t="s">
        <v>1139</v>
      </c>
      <c r="E299" s="1" t="s">
        <v>1140</v>
      </c>
      <c r="F299" s="1" t="s">
        <v>21</v>
      </c>
      <c r="G299" s="5" t="s">
        <v>1141</v>
      </c>
      <c r="H299" s="1" t="s">
        <v>17</v>
      </c>
      <c r="I299" s="2">
        <v>46086</v>
      </c>
      <c r="J299" s="33">
        <f t="shared" si="52"/>
        <v>26003</v>
      </c>
      <c r="K299" s="3">
        <v>3217</v>
      </c>
      <c r="L299" s="3">
        <v>19703</v>
      </c>
      <c r="M299" s="3">
        <v>2083</v>
      </c>
      <c r="N299" s="3">
        <v>0</v>
      </c>
      <c r="O299" s="3">
        <v>1000</v>
      </c>
      <c r="P299" s="1" t="s">
        <v>1142</v>
      </c>
      <c r="Q299" s="3">
        <v>42747</v>
      </c>
      <c r="R299" s="25">
        <f t="shared" si="53"/>
        <v>1.6439257008806676</v>
      </c>
      <c r="S299" s="32">
        <f>J299</f>
        <v>26003</v>
      </c>
      <c r="T299" s="3">
        <f t="shared" si="54"/>
        <v>0</v>
      </c>
      <c r="U299" s="1" t="s">
        <v>3615</v>
      </c>
      <c r="V299" s="16">
        <v>1</v>
      </c>
      <c r="W299" s="28">
        <f t="shared" si="51"/>
        <v>1</v>
      </c>
      <c r="X299" s="27">
        <f t="shared" si="55"/>
        <v>1</v>
      </c>
      <c r="Y299" s="18"/>
      <c r="Z299" s="19"/>
    </row>
    <row r="300" spans="1:26" x14ac:dyDescent="0.35">
      <c r="A300" s="29">
        <v>1</v>
      </c>
      <c r="B300" s="1" t="s">
        <v>3619</v>
      </c>
      <c r="C300" s="1"/>
      <c r="D300" s="1" t="s">
        <v>1168</v>
      </c>
      <c r="E300" s="1" t="s">
        <v>1169</v>
      </c>
      <c r="F300" s="1" t="s">
        <v>21</v>
      </c>
      <c r="G300" s="5" t="s">
        <v>1170</v>
      </c>
      <c r="H300" s="1" t="s">
        <v>17</v>
      </c>
      <c r="I300" s="2">
        <v>46086</v>
      </c>
      <c r="J300" s="33">
        <f t="shared" si="52"/>
        <v>51007</v>
      </c>
      <c r="K300" s="3">
        <v>6424</v>
      </c>
      <c r="L300" s="3">
        <v>39416</v>
      </c>
      <c r="M300" s="3">
        <v>4167</v>
      </c>
      <c r="N300" s="3">
        <v>0</v>
      </c>
      <c r="O300" s="3">
        <v>1000</v>
      </c>
      <c r="P300" s="1" t="s">
        <v>1171</v>
      </c>
      <c r="Q300" s="3">
        <v>79474</v>
      </c>
      <c r="R300" s="25">
        <f t="shared" si="53"/>
        <v>1.5580998686454801</v>
      </c>
      <c r="S300" s="32">
        <f>J300</f>
        <v>51007</v>
      </c>
      <c r="T300" s="3">
        <f t="shared" si="54"/>
        <v>0</v>
      </c>
      <c r="U300" s="1" t="s">
        <v>3615</v>
      </c>
      <c r="V300" s="16">
        <v>1</v>
      </c>
      <c r="W300" s="28">
        <f t="shared" si="51"/>
        <v>1</v>
      </c>
      <c r="X300" s="27">
        <f t="shared" si="55"/>
        <v>1</v>
      </c>
      <c r="Y300" s="18"/>
      <c r="Z300" s="19"/>
    </row>
    <row r="301" spans="1:26" x14ac:dyDescent="0.35">
      <c r="A301" s="29">
        <v>1</v>
      </c>
      <c r="B301" s="1" t="s">
        <v>3619</v>
      </c>
      <c r="C301" s="1"/>
      <c r="D301" s="1" t="s">
        <v>1117</v>
      </c>
      <c r="E301" s="1" t="s">
        <v>1118</v>
      </c>
      <c r="F301" s="1" t="s">
        <v>21</v>
      </c>
      <c r="G301" s="5" t="s">
        <v>1119</v>
      </c>
      <c r="H301" s="1" t="s">
        <v>17</v>
      </c>
      <c r="I301" s="2">
        <v>46086</v>
      </c>
      <c r="J301" s="33">
        <f t="shared" si="52"/>
        <v>201027</v>
      </c>
      <c r="K301" s="3">
        <v>25766</v>
      </c>
      <c r="L301" s="3">
        <v>157594</v>
      </c>
      <c r="M301" s="3">
        <v>16667</v>
      </c>
      <c r="N301" s="3">
        <v>0</v>
      </c>
      <c r="O301" s="3">
        <v>1000</v>
      </c>
      <c r="P301" s="1" t="s">
        <v>1120</v>
      </c>
      <c r="Q301" s="3">
        <v>55</v>
      </c>
      <c r="R301" s="25">
        <f t="shared" si="53"/>
        <v>2.7359508921687137E-4</v>
      </c>
      <c r="S301" s="32">
        <f>Q301</f>
        <v>55</v>
      </c>
      <c r="T301" s="31">
        <f t="shared" si="54"/>
        <v>-200972</v>
      </c>
      <c r="U301" s="1" t="s">
        <v>3616</v>
      </c>
      <c r="V301" s="16"/>
      <c r="W301" s="30">
        <f t="shared" si="51"/>
        <v>0</v>
      </c>
      <c r="X301" s="27">
        <f t="shared" si="55"/>
        <v>2.7359508921687137E-4</v>
      </c>
      <c r="Y301" s="18"/>
      <c r="Z301" s="19"/>
    </row>
    <row r="302" spans="1:26" x14ac:dyDescent="0.35">
      <c r="A302" s="29">
        <v>1</v>
      </c>
      <c r="B302" s="1" t="s">
        <v>3619</v>
      </c>
      <c r="C302" s="1"/>
      <c r="D302" s="1" t="s">
        <v>1181</v>
      </c>
      <c r="E302" s="1" t="s">
        <v>1182</v>
      </c>
      <c r="F302" s="1" t="s">
        <v>21</v>
      </c>
      <c r="G302" s="5" t="s">
        <v>1183</v>
      </c>
      <c r="H302" s="1" t="s">
        <v>17</v>
      </c>
      <c r="I302" s="2">
        <v>46086</v>
      </c>
      <c r="J302" s="33">
        <f t="shared" si="52"/>
        <v>201027</v>
      </c>
      <c r="K302" s="3">
        <v>28603</v>
      </c>
      <c r="L302" s="3">
        <v>154757</v>
      </c>
      <c r="M302" s="3">
        <v>16667</v>
      </c>
      <c r="N302" s="3">
        <v>0</v>
      </c>
      <c r="O302" s="3">
        <v>1000</v>
      </c>
      <c r="P302" s="1" t="s">
        <v>1184</v>
      </c>
      <c r="Q302" s="3">
        <v>222700</v>
      </c>
      <c r="R302" s="25">
        <f t="shared" si="53"/>
        <v>1.1078113885199501</v>
      </c>
      <c r="S302" s="32">
        <f>J302</f>
        <v>201027</v>
      </c>
      <c r="T302" s="3">
        <f t="shared" si="54"/>
        <v>0</v>
      </c>
      <c r="U302" s="1" t="s">
        <v>3615</v>
      </c>
      <c r="V302" s="16">
        <v>1</v>
      </c>
      <c r="W302" s="28">
        <f t="shared" si="51"/>
        <v>1</v>
      </c>
      <c r="X302" s="27">
        <f t="shared" si="55"/>
        <v>1</v>
      </c>
      <c r="Y302" s="18"/>
      <c r="Z302" s="19"/>
    </row>
    <row r="303" spans="1:26" x14ac:dyDescent="0.35">
      <c r="A303" s="29">
        <v>1</v>
      </c>
      <c r="B303" s="1" t="s">
        <v>3619</v>
      </c>
      <c r="C303" s="1"/>
      <c r="D303" s="1" t="s">
        <v>1290</v>
      </c>
      <c r="E303" s="1" t="s">
        <v>1291</v>
      </c>
      <c r="F303" s="1" t="s">
        <v>21</v>
      </c>
      <c r="G303" s="5" t="s">
        <v>1292</v>
      </c>
      <c r="H303" s="1" t="s">
        <v>17</v>
      </c>
      <c r="I303" s="2">
        <v>46086</v>
      </c>
      <c r="J303" s="33">
        <f t="shared" si="52"/>
        <v>33288</v>
      </c>
      <c r="K303" s="3">
        <v>4142</v>
      </c>
      <c r="L303" s="3">
        <v>25646</v>
      </c>
      <c r="M303" s="3">
        <v>2500</v>
      </c>
      <c r="N303" s="3">
        <v>0</v>
      </c>
      <c r="O303" s="3">
        <v>1000</v>
      </c>
      <c r="P303" s="1" t="s">
        <v>1293</v>
      </c>
      <c r="Q303" s="3">
        <v>92774</v>
      </c>
      <c r="R303" s="25">
        <f t="shared" si="53"/>
        <v>2.787010334054314</v>
      </c>
      <c r="S303" s="32">
        <f>J303</f>
        <v>33288</v>
      </c>
      <c r="T303" s="3">
        <f t="shared" si="54"/>
        <v>0</v>
      </c>
      <c r="U303" s="1" t="s">
        <v>3615</v>
      </c>
      <c r="V303" s="16">
        <v>1</v>
      </c>
      <c r="W303" s="28">
        <f t="shared" si="51"/>
        <v>1</v>
      </c>
      <c r="X303" s="27">
        <f t="shared" si="55"/>
        <v>1</v>
      </c>
      <c r="Y303" s="18"/>
      <c r="Z303" s="19"/>
    </row>
    <row r="304" spans="1:26" x14ac:dyDescent="0.35">
      <c r="A304" s="29">
        <v>1</v>
      </c>
      <c r="B304" s="1" t="s">
        <v>3619</v>
      </c>
      <c r="C304" s="1"/>
      <c r="D304" s="1" t="s">
        <v>1298</v>
      </c>
      <c r="E304" s="1" t="s">
        <v>1299</v>
      </c>
      <c r="F304" s="1" t="s">
        <v>21</v>
      </c>
      <c r="G304" s="5" t="s">
        <v>1300</v>
      </c>
      <c r="H304" s="1" t="s">
        <v>17</v>
      </c>
      <c r="I304" s="2">
        <v>46086</v>
      </c>
      <c r="J304" s="33">
        <f t="shared" si="52"/>
        <v>120011</v>
      </c>
      <c r="K304" s="3">
        <v>91233</v>
      </c>
      <c r="L304" s="3">
        <v>0</v>
      </c>
      <c r="M304" s="3">
        <v>27778</v>
      </c>
      <c r="N304" s="3">
        <v>0</v>
      </c>
      <c r="O304" s="3">
        <v>1000</v>
      </c>
      <c r="P304" s="1" t="s">
        <v>1301</v>
      </c>
      <c r="Q304" s="3">
        <v>370000</v>
      </c>
      <c r="R304" s="25">
        <f t="shared" si="53"/>
        <v>3.0830507203506343</v>
      </c>
      <c r="S304" s="32">
        <f>J304</f>
        <v>120011</v>
      </c>
      <c r="T304" s="3">
        <f t="shared" si="54"/>
        <v>0</v>
      </c>
      <c r="U304" s="1" t="s">
        <v>3615</v>
      </c>
      <c r="V304" s="16">
        <v>1</v>
      </c>
      <c r="W304" s="28">
        <f t="shared" si="51"/>
        <v>1</v>
      </c>
      <c r="X304" s="27">
        <f t="shared" si="55"/>
        <v>1</v>
      </c>
      <c r="Y304" s="18"/>
      <c r="Z304" s="19"/>
    </row>
    <row r="305" spans="1:26" x14ac:dyDescent="0.35">
      <c r="A305" s="29">
        <v>1</v>
      </c>
      <c r="B305" s="1" t="s">
        <v>3619</v>
      </c>
      <c r="C305" s="1"/>
      <c r="D305" s="1" t="s">
        <v>759</v>
      </c>
      <c r="E305" s="1" t="s">
        <v>760</v>
      </c>
      <c r="F305" s="1" t="s">
        <v>21</v>
      </c>
      <c r="G305" s="5" t="s">
        <v>761</v>
      </c>
      <c r="H305" s="1" t="s">
        <v>17</v>
      </c>
      <c r="I305" s="2">
        <v>46086</v>
      </c>
      <c r="J305" s="33">
        <f t="shared" si="52"/>
        <v>67968</v>
      </c>
      <c r="K305" s="3">
        <v>50301</v>
      </c>
      <c r="L305" s="3">
        <v>0</v>
      </c>
      <c r="M305" s="3">
        <v>16667</v>
      </c>
      <c r="N305" s="3">
        <v>0</v>
      </c>
      <c r="O305" s="3">
        <v>1000</v>
      </c>
      <c r="P305" s="1" t="s">
        <v>762</v>
      </c>
      <c r="Q305" s="3">
        <v>89200</v>
      </c>
      <c r="R305" s="25">
        <f t="shared" si="53"/>
        <v>1.3123822975517891</v>
      </c>
      <c r="S305" s="32">
        <f>J305</f>
        <v>67968</v>
      </c>
      <c r="T305" s="3">
        <f t="shared" si="54"/>
        <v>0</v>
      </c>
      <c r="U305" s="1" t="s">
        <v>3615</v>
      </c>
      <c r="V305" s="16">
        <v>1</v>
      </c>
      <c r="W305" s="28">
        <f t="shared" si="51"/>
        <v>1</v>
      </c>
      <c r="X305" s="27">
        <f t="shared" si="55"/>
        <v>1</v>
      </c>
      <c r="Y305" s="18"/>
      <c r="Z305" s="19"/>
    </row>
    <row r="306" spans="1:26" x14ac:dyDescent="0.35">
      <c r="A306" s="29">
        <v>1</v>
      </c>
      <c r="B306" s="1" t="s">
        <v>3619</v>
      </c>
      <c r="C306" s="1"/>
      <c r="D306" s="1" t="s">
        <v>763</v>
      </c>
      <c r="E306" s="1" t="s">
        <v>764</v>
      </c>
      <c r="F306" s="1" t="s">
        <v>21</v>
      </c>
      <c r="G306" s="5" t="s">
        <v>765</v>
      </c>
      <c r="H306" s="1" t="s">
        <v>17</v>
      </c>
      <c r="I306" s="2">
        <v>46086</v>
      </c>
      <c r="J306" s="33">
        <f t="shared" si="52"/>
        <v>90290</v>
      </c>
      <c r="K306" s="3">
        <v>67068</v>
      </c>
      <c r="L306" s="3">
        <v>0</v>
      </c>
      <c r="M306" s="3">
        <v>22222</v>
      </c>
      <c r="N306" s="3">
        <v>0</v>
      </c>
      <c r="O306" s="3">
        <v>1000</v>
      </c>
      <c r="P306" s="1" t="s">
        <v>766</v>
      </c>
      <c r="Q306" s="3">
        <v>339700</v>
      </c>
      <c r="R306" s="25">
        <f t="shared" si="53"/>
        <v>3.7623214087938863</v>
      </c>
      <c r="S306" s="32">
        <f>J306</f>
        <v>90290</v>
      </c>
      <c r="T306" s="3">
        <f t="shared" si="54"/>
        <v>0</v>
      </c>
      <c r="U306" s="1" t="s">
        <v>3615</v>
      </c>
      <c r="V306" s="16">
        <v>1</v>
      </c>
      <c r="W306" s="28">
        <f t="shared" si="51"/>
        <v>1</v>
      </c>
      <c r="X306" s="27">
        <f t="shared" si="55"/>
        <v>1</v>
      </c>
      <c r="Y306" s="18"/>
      <c r="Z306" s="19"/>
    </row>
    <row r="307" spans="1:26" x14ac:dyDescent="0.35">
      <c r="A307" s="29">
        <v>1</v>
      </c>
      <c r="B307" s="1" t="s">
        <v>3619</v>
      </c>
      <c r="C307" s="1"/>
      <c r="D307" s="1" t="s">
        <v>1367</v>
      </c>
      <c r="E307" s="1" t="s">
        <v>1368</v>
      </c>
      <c r="F307" s="1" t="s">
        <v>21</v>
      </c>
      <c r="G307" s="5" t="s">
        <v>1369</v>
      </c>
      <c r="H307" s="1" t="s">
        <v>17</v>
      </c>
      <c r="I307" s="2">
        <v>46086</v>
      </c>
      <c r="J307" s="33">
        <f t="shared" si="52"/>
        <v>101490</v>
      </c>
      <c r="K307" s="3">
        <v>15616</v>
      </c>
      <c r="L307" s="3">
        <v>76541</v>
      </c>
      <c r="M307" s="3">
        <v>8333</v>
      </c>
      <c r="N307" s="3">
        <v>0</v>
      </c>
      <c r="O307" s="3">
        <v>1000</v>
      </c>
      <c r="P307" s="1" t="s">
        <v>1370</v>
      </c>
      <c r="Q307" s="3">
        <v>16700</v>
      </c>
      <c r="R307" s="25">
        <f t="shared" si="53"/>
        <v>0.16454823135284263</v>
      </c>
      <c r="S307" s="32">
        <f>Q307</f>
        <v>16700</v>
      </c>
      <c r="T307" s="31">
        <f t="shared" si="54"/>
        <v>-84790</v>
      </c>
      <c r="U307" s="1" t="s">
        <v>3616</v>
      </c>
      <c r="V307" s="16"/>
      <c r="W307" s="30">
        <f t="shared" si="51"/>
        <v>0</v>
      </c>
      <c r="X307" s="27">
        <f t="shared" si="55"/>
        <v>0.16454823135284263</v>
      </c>
      <c r="Y307" s="18"/>
      <c r="Z307" s="19"/>
    </row>
    <row r="308" spans="1:26" s="40" customFormat="1" ht="15" thickBot="1" x14ac:dyDescent="0.4">
      <c r="A308" s="34">
        <f>SUM(A155:A307)</f>
        <v>153</v>
      </c>
      <c r="B308" s="73" t="s">
        <v>3633</v>
      </c>
      <c r="C308" s="73"/>
      <c r="D308" s="73"/>
      <c r="E308" s="73"/>
      <c r="F308" s="73"/>
      <c r="G308" s="73"/>
      <c r="H308" s="73"/>
      <c r="I308" s="73"/>
      <c r="J308" s="35">
        <f>SUM(J155:J307)</f>
        <v>26359627</v>
      </c>
      <c r="K308" s="36">
        <f t="shared" ref="K308:V308" si="56">SUM(K155:K307)</f>
        <v>3563026</v>
      </c>
      <c r="L308" s="36">
        <f t="shared" si="56"/>
        <v>20541083</v>
      </c>
      <c r="M308" s="36">
        <f t="shared" si="56"/>
        <v>2102518</v>
      </c>
      <c r="N308" s="36">
        <f t="shared" si="56"/>
        <v>0</v>
      </c>
      <c r="O308" s="36">
        <f t="shared" si="56"/>
        <v>153000</v>
      </c>
      <c r="P308" s="36">
        <f t="shared" si="56"/>
        <v>0</v>
      </c>
      <c r="Q308" s="36">
        <f t="shared" si="56"/>
        <v>21851530</v>
      </c>
      <c r="R308" s="36"/>
      <c r="S308" s="45">
        <f t="shared" si="56"/>
        <v>14185773</v>
      </c>
      <c r="T308" s="37">
        <f t="shared" si="56"/>
        <v>-12173854</v>
      </c>
      <c r="U308" s="35">
        <f t="shared" si="56"/>
        <v>0</v>
      </c>
      <c r="V308" s="35">
        <f t="shared" si="56"/>
        <v>81</v>
      </c>
      <c r="W308" s="38">
        <f t="shared" si="51"/>
        <v>0.52941176470588236</v>
      </c>
      <c r="X308" s="39">
        <f t="shared" ref="X308" si="57">S308/J308</f>
        <v>0.53816288826848724</v>
      </c>
    </row>
    <row r="309" spans="1:26" x14ac:dyDescent="0.35">
      <c r="A309" s="29">
        <v>1</v>
      </c>
      <c r="B309" s="1" t="s">
        <v>3620</v>
      </c>
      <c r="C309" s="1"/>
      <c r="D309" s="1" t="s">
        <v>1871</v>
      </c>
      <c r="E309" s="1" t="s">
        <v>1872</v>
      </c>
      <c r="F309" s="1" t="s">
        <v>1873</v>
      </c>
      <c r="G309" s="5" t="s">
        <v>1874</v>
      </c>
      <c r="H309" s="1" t="s">
        <v>17</v>
      </c>
      <c r="I309" s="2">
        <v>46086</v>
      </c>
      <c r="J309" s="33">
        <f t="shared" ref="J309:J340" si="58">SUM(K309:O309)</f>
        <v>151020</v>
      </c>
      <c r="K309" s="3">
        <v>21452</v>
      </c>
      <c r="L309" s="3">
        <v>116068</v>
      </c>
      <c r="M309" s="3">
        <v>12500</v>
      </c>
      <c r="N309" s="3">
        <v>0</v>
      </c>
      <c r="O309" s="3">
        <v>1000</v>
      </c>
      <c r="P309" s="1" t="s">
        <v>1875</v>
      </c>
      <c r="Q309" s="3">
        <v>378893</v>
      </c>
      <c r="R309" s="25">
        <f t="shared" ref="R309:R340" si="59">Q309/J309</f>
        <v>2.5088928618725999</v>
      </c>
      <c r="S309" s="32">
        <f>J309</f>
        <v>151020</v>
      </c>
      <c r="T309" s="3">
        <f t="shared" ref="T309:T340" si="60">S309-J309</f>
        <v>0</v>
      </c>
      <c r="U309" s="1" t="s">
        <v>3615</v>
      </c>
      <c r="V309" s="16">
        <v>1</v>
      </c>
      <c r="W309" s="28">
        <f t="shared" si="51"/>
        <v>1</v>
      </c>
      <c r="X309" s="27">
        <f t="shared" ref="X309:X340" si="61">S309/J309</f>
        <v>1</v>
      </c>
      <c r="Y309" s="18"/>
      <c r="Z309" s="19"/>
    </row>
    <row r="310" spans="1:26" x14ac:dyDescent="0.35">
      <c r="A310" s="29">
        <v>1</v>
      </c>
      <c r="B310" s="1" t="s">
        <v>3620</v>
      </c>
      <c r="C310" s="1"/>
      <c r="D310" s="1" t="s">
        <v>1478</v>
      </c>
      <c r="E310" s="1" t="s">
        <v>1479</v>
      </c>
      <c r="F310" s="1" t="s">
        <v>1480</v>
      </c>
      <c r="G310" s="5" t="s">
        <v>1481</v>
      </c>
      <c r="H310" s="1" t="s">
        <v>467</v>
      </c>
      <c r="I310" s="2">
        <v>46086</v>
      </c>
      <c r="J310" s="33">
        <f t="shared" si="58"/>
        <v>75902</v>
      </c>
      <c r="K310" s="3">
        <v>5015</v>
      </c>
      <c r="L310" s="3">
        <v>69887</v>
      </c>
      <c r="M310" s="3">
        <v>0</v>
      </c>
      <c r="N310" s="3">
        <v>0</v>
      </c>
      <c r="O310" s="3">
        <v>1000</v>
      </c>
      <c r="P310" s="1" t="s">
        <v>1482</v>
      </c>
      <c r="Q310" s="3">
        <v>1000</v>
      </c>
      <c r="R310" s="25">
        <f t="shared" si="59"/>
        <v>1.317488340228189E-2</v>
      </c>
      <c r="S310" s="32">
        <f>Q310</f>
        <v>1000</v>
      </c>
      <c r="T310" s="31">
        <f t="shared" si="60"/>
        <v>-74902</v>
      </c>
      <c r="U310" s="1" t="s">
        <v>3616</v>
      </c>
      <c r="V310" s="16"/>
      <c r="W310" s="30">
        <f t="shared" si="51"/>
        <v>0</v>
      </c>
      <c r="X310" s="27">
        <f t="shared" si="61"/>
        <v>1.317488340228189E-2</v>
      </c>
      <c r="Y310" s="18"/>
      <c r="Z310" s="19"/>
    </row>
    <row r="311" spans="1:26" x14ac:dyDescent="0.35">
      <c r="A311" s="29">
        <v>1</v>
      </c>
      <c r="B311" s="1" t="s">
        <v>3620</v>
      </c>
      <c r="C311" s="1"/>
      <c r="D311" s="1" t="s">
        <v>1774</v>
      </c>
      <c r="E311" s="1" t="s">
        <v>1775</v>
      </c>
      <c r="F311" s="1" t="s">
        <v>1776</v>
      </c>
      <c r="G311" s="5" t="s">
        <v>1777</v>
      </c>
      <c r="H311" s="1" t="s">
        <v>32</v>
      </c>
      <c r="I311" s="2">
        <v>46086</v>
      </c>
      <c r="J311" s="33">
        <f t="shared" si="58"/>
        <v>209084</v>
      </c>
      <c r="K311" s="3">
        <v>29034</v>
      </c>
      <c r="L311" s="3">
        <v>162383</v>
      </c>
      <c r="M311" s="3">
        <v>16667</v>
      </c>
      <c r="N311" s="3">
        <v>0</v>
      </c>
      <c r="O311" s="3">
        <v>1000</v>
      </c>
      <c r="P311" s="1" t="s">
        <v>1778</v>
      </c>
      <c r="Q311" s="3">
        <v>179063</v>
      </c>
      <c r="R311" s="25">
        <f t="shared" si="59"/>
        <v>0.85641655985154297</v>
      </c>
      <c r="S311" s="32">
        <f>Q311</f>
        <v>179063</v>
      </c>
      <c r="T311" s="31">
        <f t="shared" si="60"/>
        <v>-30021</v>
      </c>
      <c r="U311" s="1" t="s">
        <v>3616</v>
      </c>
      <c r="V311" s="16"/>
      <c r="W311" s="30">
        <f t="shared" si="51"/>
        <v>0</v>
      </c>
      <c r="X311" s="27">
        <f t="shared" si="61"/>
        <v>0.85641655985154297</v>
      </c>
      <c r="Y311" s="18"/>
      <c r="Z311" s="19"/>
    </row>
    <row r="312" spans="1:26" x14ac:dyDescent="0.35">
      <c r="A312" s="29">
        <v>1</v>
      </c>
      <c r="B312" s="1" t="s">
        <v>3620</v>
      </c>
      <c r="C312" s="1"/>
      <c r="D312" s="1" t="s">
        <v>1846</v>
      </c>
      <c r="E312" s="1" t="s">
        <v>1847</v>
      </c>
      <c r="F312" s="1" t="s">
        <v>1848</v>
      </c>
      <c r="G312" s="5" t="s">
        <v>1849</v>
      </c>
      <c r="H312" s="1" t="s">
        <v>17</v>
      </c>
      <c r="I312" s="2">
        <v>46086</v>
      </c>
      <c r="J312" s="33">
        <f t="shared" si="58"/>
        <v>201027</v>
      </c>
      <c r="K312" s="3">
        <v>28603</v>
      </c>
      <c r="L312" s="3">
        <v>154757</v>
      </c>
      <c r="M312" s="3">
        <v>16667</v>
      </c>
      <c r="N312" s="3">
        <v>0</v>
      </c>
      <c r="O312" s="3">
        <v>1000</v>
      </c>
      <c r="P312" s="1" t="s">
        <v>1850</v>
      </c>
      <c r="Q312" s="3">
        <v>1093754</v>
      </c>
      <c r="R312" s="25">
        <f t="shared" si="59"/>
        <v>5.4408313311147261</v>
      </c>
      <c r="S312" s="32">
        <f t="shared" ref="S312:S318" si="62">J312</f>
        <v>201027</v>
      </c>
      <c r="T312" s="3">
        <f t="shared" si="60"/>
        <v>0</v>
      </c>
      <c r="U312" s="1" t="s">
        <v>3615</v>
      </c>
      <c r="V312" s="16">
        <v>1</v>
      </c>
      <c r="W312" s="28">
        <f t="shared" si="51"/>
        <v>1</v>
      </c>
      <c r="X312" s="27">
        <f t="shared" si="61"/>
        <v>1</v>
      </c>
      <c r="Y312" s="18"/>
      <c r="Z312" s="19"/>
    </row>
    <row r="313" spans="1:26" x14ac:dyDescent="0.35">
      <c r="A313" s="29">
        <v>1</v>
      </c>
      <c r="B313" s="1" t="s">
        <v>3620</v>
      </c>
      <c r="C313" s="1"/>
      <c r="D313" s="1" t="s">
        <v>1861</v>
      </c>
      <c r="E313" s="1" t="s">
        <v>1862</v>
      </c>
      <c r="F313" s="1" t="s">
        <v>1863</v>
      </c>
      <c r="G313" s="5" t="s">
        <v>1864</v>
      </c>
      <c r="H313" s="1" t="s">
        <v>17</v>
      </c>
      <c r="I313" s="2">
        <v>46086</v>
      </c>
      <c r="J313" s="33">
        <f t="shared" si="58"/>
        <v>151735</v>
      </c>
      <c r="K313" s="3">
        <v>26548</v>
      </c>
      <c r="L313" s="3">
        <v>111687</v>
      </c>
      <c r="M313" s="3">
        <v>12500</v>
      </c>
      <c r="N313" s="3">
        <v>0</v>
      </c>
      <c r="O313" s="3">
        <v>1000</v>
      </c>
      <c r="P313" s="1" t="s">
        <v>1865</v>
      </c>
      <c r="Q313" s="3">
        <v>493671</v>
      </c>
      <c r="R313" s="25">
        <f t="shared" si="59"/>
        <v>3.2535077602398919</v>
      </c>
      <c r="S313" s="32">
        <f t="shared" si="62"/>
        <v>151735</v>
      </c>
      <c r="T313" s="3">
        <f t="shared" si="60"/>
        <v>0</v>
      </c>
      <c r="U313" s="1" t="s">
        <v>3615</v>
      </c>
      <c r="V313" s="16">
        <v>1</v>
      </c>
      <c r="W313" s="28">
        <f t="shared" si="51"/>
        <v>1</v>
      </c>
      <c r="X313" s="27">
        <f t="shared" si="61"/>
        <v>1</v>
      </c>
      <c r="Y313" s="18"/>
      <c r="Z313" s="19"/>
    </row>
    <row r="314" spans="1:26" x14ac:dyDescent="0.35">
      <c r="A314" s="29">
        <v>1</v>
      </c>
      <c r="B314" s="1" t="s">
        <v>3620</v>
      </c>
      <c r="C314" s="1"/>
      <c r="D314" s="1" t="s">
        <v>1808</v>
      </c>
      <c r="E314" s="1" t="s">
        <v>1809</v>
      </c>
      <c r="F314" s="1" t="s">
        <v>1810</v>
      </c>
      <c r="G314" s="5" t="s">
        <v>1811</v>
      </c>
      <c r="H314" s="1" t="s">
        <v>17</v>
      </c>
      <c r="I314" s="2">
        <v>46086</v>
      </c>
      <c r="J314" s="33">
        <f t="shared" si="58"/>
        <v>51007</v>
      </c>
      <c r="K314" s="3">
        <v>5900</v>
      </c>
      <c r="L314" s="3">
        <v>39940</v>
      </c>
      <c r="M314" s="3">
        <v>4167</v>
      </c>
      <c r="N314" s="3">
        <v>0</v>
      </c>
      <c r="O314" s="3">
        <v>1000</v>
      </c>
      <c r="P314" s="1" t="s">
        <v>1812</v>
      </c>
      <c r="Q314" s="3">
        <v>190638</v>
      </c>
      <c r="R314" s="25">
        <f t="shared" si="59"/>
        <v>3.7374870115866448</v>
      </c>
      <c r="S314" s="32">
        <f t="shared" si="62"/>
        <v>51007</v>
      </c>
      <c r="T314" s="3">
        <f t="shared" si="60"/>
        <v>0</v>
      </c>
      <c r="U314" s="1" t="s">
        <v>3615</v>
      </c>
      <c r="V314" s="16">
        <v>1</v>
      </c>
      <c r="W314" s="28">
        <f t="shared" si="51"/>
        <v>1</v>
      </c>
      <c r="X314" s="27">
        <f t="shared" si="61"/>
        <v>1</v>
      </c>
      <c r="Y314" s="18"/>
      <c r="Z314" s="19"/>
    </row>
    <row r="315" spans="1:26" x14ac:dyDescent="0.35">
      <c r="A315" s="29">
        <v>1</v>
      </c>
      <c r="B315" s="1" t="s">
        <v>3620</v>
      </c>
      <c r="C315" s="1"/>
      <c r="D315" s="1" t="s">
        <v>1468</v>
      </c>
      <c r="E315" s="1" t="s">
        <v>1469</v>
      </c>
      <c r="F315" s="1" t="s">
        <v>1470</v>
      </c>
      <c r="G315" s="5" t="s">
        <v>1471</v>
      </c>
      <c r="H315" s="1" t="s">
        <v>17</v>
      </c>
      <c r="I315" s="2">
        <v>46086</v>
      </c>
      <c r="J315" s="33">
        <f t="shared" si="58"/>
        <v>139723</v>
      </c>
      <c r="K315" s="3">
        <v>22304</v>
      </c>
      <c r="L315" s="3">
        <v>105308</v>
      </c>
      <c r="M315" s="3">
        <v>11111</v>
      </c>
      <c r="N315" s="3">
        <v>0</v>
      </c>
      <c r="O315" s="3">
        <v>1000</v>
      </c>
      <c r="P315" s="1" t="s">
        <v>1472</v>
      </c>
      <c r="Q315" s="3">
        <v>1209138</v>
      </c>
      <c r="R315" s="25">
        <f t="shared" si="59"/>
        <v>8.6538222053634684</v>
      </c>
      <c r="S315" s="32">
        <f t="shared" si="62"/>
        <v>139723</v>
      </c>
      <c r="T315" s="3">
        <f t="shared" si="60"/>
        <v>0</v>
      </c>
      <c r="U315" s="1" t="s">
        <v>3615</v>
      </c>
      <c r="V315" s="16">
        <v>1</v>
      </c>
      <c r="W315" s="28">
        <f t="shared" si="51"/>
        <v>1</v>
      </c>
      <c r="X315" s="27">
        <f t="shared" si="61"/>
        <v>1</v>
      </c>
      <c r="Y315" s="18"/>
      <c r="Z315" s="19"/>
    </row>
    <row r="316" spans="1:26" x14ac:dyDescent="0.35">
      <c r="A316" s="29">
        <v>1</v>
      </c>
      <c r="B316" s="1" t="s">
        <v>3620</v>
      </c>
      <c r="C316" s="1"/>
      <c r="D316" s="1" t="s">
        <v>1827</v>
      </c>
      <c r="E316" s="1" t="s">
        <v>1828</v>
      </c>
      <c r="F316" s="1" t="s">
        <v>1829</v>
      </c>
      <c r="G316" s="5" t="s">
        <v>1830</v>
      </c>
      <c r="H316" s="1" t="s">
        <v>17</v>
      </c>
      <c r="I316" s="2">
        <v>46086</v>
      </c>
      <c r="J316" s="33">
        <f t="shared" si="58"/>
        <v>81011</v>
      </c>
      <c r="K316" s="3">
        <v>10317</v>
      </c>
      <c r="L316" s="3">
        <v>63027</v>
      </c>
      <c r="M316" s="3">
        <v>6667</v>
      </c>
      <c r="N316" s="3">
        <v>0</v>
      </c>
      <c r="O316" s="3">
        <v>1000</v>
      </c>
      <c r="P316" s="1" t="s">
        <v>1831</v>
      </c>
      <c r="Q316" s="3">
        <v>199396</v>
      </c>
      <c r="R316" s="25">
        <f t="shared" si="59"/>
        <v>2.4613447556504671</v>
      </c>
      <c r="S316" s="32">
        <f t="shared" si="62"/>
        <v>81011</v>
      </c>
      <c r="T316" s="3">
        <f t="shared" si="60"/>
        <v>0</v>
      </c>
      <c r="U316" s="1" t="s">
        <v>3615</v>
      </c>
      <c r="V316" s="16">
        <v>1</v>
      </c>
      <c r="W316" s="28">
        <f t="shared" si="51"/>
        <v>1</v>
      </c>
      <c r="X316" s="27">
        <f t="shared" si="61"/>
        <v>1</v>
      </c>
      <c r="Y316" s="18"/>
      <c r="Z316" s="19"/>
    </row>
    <row r="317" spans="1:26" x14ac:dyDescent="0.35">
      <c r="A317" s="29">
        <v>1</v>
      </c>
      <c r="B317" s="1" t="s">
        <v>3620</v>
      </c>
      <c r="C317" s="1"/>
      <c r="D317" s="1" t="s">
        <v>1813</v>
      </c>
      <c r="E317" s="1" t="s">
        <v>1814</v>
      </c>
      <c r="F317" s="1" t="s">
        <v>1815</v>
      </c>
      <c r="G317" s="5" t="s">
        <v>1816</v>
      </c>
      <c r="H317" s="1" t="s">
        <v>17</v>
      </c>
      <c r="I317" s="2">
        <v>46086</v>
      </c>
      <c r="J317" s="33">
        <f t="shared" si="58"/>
        <v>174403</v>
      </c>
      <c r="K317" s="3">
        <v>31387</v>
      </c>
      <c r="L317" s="3">
        <v>128127</v>
      </c>
      <c r="M317" s="3">
        <v>13889</v>
      </c>
      <c r="N317" s="3">
        <v>0</v>
      </c>
      <c r="O317" s="3">
        <v>1000</v>
      </c>
      <c r="P317" s="1" t="s">
        <v>1817</v>
      </c>
      <c r="Q317" s="3">
        <v>1213297</v>
      </c>
      <c r="R317" s="25">
        <f t="shared" si="59"/>
        <v>6.9568585402774037</v>
      </c>
      <c r="S317" s="32">
        <f t="shared" si="62"/>
        <v>174403</v>
      </c>
      <c r="T317" s="3">
        <f t="shared" si="60"/>
        <v>0</v>
      </c>
      <c r="U317" s="1" t="s">
        <v>3615</v>
      </c>
      <c r="V317" s="16">
        <v>1</v>
      </c>
      <c r="W317" s="28">
        <f t="shared" si="51"/>
        <v>1</v>
      </c>
      <c r="X317" s="27">
        <f t="shared" si="61"/>
        <v>1</v>
      </c>
      <c r="Y317" s="18"/>
      <c r="Z317" s="19"/>
    </row>
    <row r="318" spans="1:26" x14ac:dyDescent="0.35">
      <c r="A318" s="29">
        <v>1</v>
      </c>
      <c r="B318" s="1" t="s">
        <v>3620</v>
      </c>
      <c r="C318" s="1"/>
      <c r="D318" s="1" t="s">
        <v>1783</v>
      </c>
      <c r="E318" s="1" t="s">
        <v>1784</v>
      </c>
      <c r="F318" s="1" t="s">
        <v>1785</v>
      </c>
      <c r="G318" s="5" t="s">
        <v>1786</v>
      </c>
      <c r="H318" s="1" t="s">
        <v>17</v>
      </c>
      <c r="I318" s="2">
        <v>46086</v>
      </c>
      <c r="J318" s="33">
        <f t="shared" si="58"/>
        <v>41005</v>
      </c>
      <c r="K318" s="3">
        <v>3389</v>
      </c>
      <c r="L318" s="3">
        <v>33283</v>
      </c>
      <c r="M318" s="3">
        <v>3333</v>
      </c>
      <c r="N318" s="3">
        <v>0</v>
      </c>
      <c r="O318" s="3">
        <v>1000</v>
      </c>
      <c r="P318" s="1" t="s">
        <v>1787</v>
      </c>
      <c r="Q318" s="3">
        <v>72275</v>
      </c>
      <c r="R318" s="25">
        <f t="shared" si="59"/>
        <v>1.7625899280575539</v>
      </c>
      <c r="S318" s="32">
        <f t="shared" si="62"/>
        <v>41005</v>
      </c>
      <c r="T318" s="3">
        <f t="shared" si="60"/>
        <v>0</v>
      </c>
      <c r="U318" s="1" t="s">
        <v>3615</v>
      </c>
      <c r="V318" s="16">
        <v>1</v>
      </c>
      <c r="W318" s="28">
        <f t="shared" si="51"/>
        <v>1</v>
      </c>
      <c r="X318" s="27">
        <f t="shared" si="61"/>
        <v>1</v>
      </c>
      <c r="Y318" s="18"/>
      <c r="Z318" s="19"/>
    </row>
    <row r="319" spans="1:26" x14ac:dyDescent="0.35">
      <c r="A319" s="29">
        <v>1</v>
      </c>
      <c r="B319" s="1" t="s">
        <v>3620</v>
      </c>
      <c r="C319" s="1"/>
      <c r="D319" s="1" t="s">
        <v>1445</v>
      </c>
      <c r="E319" s="1" t="s">
        <v>1446</v>
      </c>
      <c r="F319" s="1" t="s">
        <v>1447</v>
      </c>
      <c r="G319" s="5" t="s">
        <v>1448</v>
      </c>
      <c r="H319" s="1" t="s">
        <v>17</v>
      </c>
      <c r="I319" s="2">
        <v>46086</v>
      </c>
      <c r="J319" s="33">
        <f t="shared" si="58"/>
        <v>347807</v>
      </c>
      <c r="K319" s="3">
        <v>52249</v>
      </c>
      <c r="L319" s="3">
        <v>266780</v>
      </c>
      <c r="M319" s="3">
        <v>27778</v>
      </c>
      <c r="N319" s="3">
        <v>0</v>
      </c>
      <c r="O319" s="3">
        <v>1000</v>
      </c>
      <c r="P319" s="1" t="s">
        <v>1449</v>
      </c>
      <c r="Q319" s="3">
        <v>237804</v>
      </c>
      <c r="R319" s="25">
        <f t="shared" si="59"/>
        <v>0.68372401935556215</v>
      </c>
      <c r="S319" s="32">
        <f>Q319</f>
        <v>237804</v>
      </c>
      <c r="T319" s="31">
        <f t="shared" si="60"/>
        <v>-110003</v>
      </c>
      <c r="U319" s="1" t="s">
        <v>3616</v>
      </c>
      <c r="V319" s="16"/>
      <c r="W319" s="30">
        <f t="shared" si="51"/>
        <v>0</v>
      </c>
      <c r="X319" s="27">
        <f t="shared" si="61"/>
        <v>0.68372401935556215</v>
      </c>
      <c r="Y319" s="18"/>
      <c r="Z319" s="19"/>
    </row>
    <row r="320" spans="1:26" x14ac:dyDescent="0.35">
      <c r="A320" s="29">
        <v>1</v>
      </c>
      <c r="B320" s="1" t="s">
        <v>3620</v>
      </c>
      <c r="C320" s="1"/>
      <c r="D320" s="1" t="s">
        <v>1832</v>
      </c>
      <c r="E320" s="1" t="s">
        <v>1833</v>
      </c>
      <c r="F320" s="1" t="s">
        <v>1834</v>
      </c>
      <c r="G320" s="5" t="s">
        <v>1835</v>
      </c>
      <c r="H320" s="1" t="s">
        <v>17</v>
      </c>
      <c r="I320" s="2">
        <v>46086</v>
      </c>
      <c r="J320" s="33">
        <f t="shared" si="58"/>
        <v>41005</v>
      </c>
      <c r="K320" s="3">
        <v>5150</v>
      </c>
      <c r="L320" s="3">
        <v>31522</v>
      </c>
      <c r="M320" s="3">
        <v>3333</v>
      </c>
      <c r="N320" s="3">
        <v>0</v>
      </c>
      <c r="O320" s="3">
        <v>1000</v>
      </c>
      <c r="P320" s="1" t="s">
        <v>1836</v>
      </c>
      <c r="Q320" s="3">
        <v>63368</v>
      </c>
      <c r="R320" s="25">
        <f t="shared" si="59"/>
        <v>1.5453725155468845</v>
      </c>
      <c r="S320" s="32">
        <f t="shared" ref="S320:S340" si="63">J320</f>
        <v>41005</v>
      </c>
      <c r="T320" s="3">
        <f t="shared" si="60"/>
        <v>0</v>
      </c>
      <c r="U320" s="1" t="s">
        <v>3615</v>
      </c>
      <c r="V320" s="16">
        <v>1</v>
      </c>
      <c r="W320" s="28">
        <f t="shared" si="51"/>
        <v>1</v>
      </c>
      <c r="X320" s="27">
        <f t="shared" si="61"/>
        <v>1</v>
      </c>
      <c r="Y320" s="18"/>
      <c r="Z320" s="19"/>
    </row>
    <row r="321" spans="1:26" x14ac:dyDescent="0.35">
      <c r="A321" s="29">
        <v>1</v>
      </c>
      <c r="B321" s="1" t="s">
        <v>3620</v>
      </c>
      <c r="C321" s="1"/>
      <c r="D321" s="1" t="s">
        <v>1512</v>
      </c>
      <c r="E321" s="1" t="s">
        <v>1513</v>
      </c>
      <c r="F321" s="1" t="s">
        <v>1514</v>
      </c>
      <c r="G321" s="5" t="s">
        <v>1515</v>
      </c>
      <c r="H321" s="1" t="s">
        <v>17</v>
      </c>
      <c r="I321" s="2">
        <v>46086</v>
      </c>
      <c r="J321" s="33">
        <f t="shared" si="58"/>
        <v>105042</v>
      </c>
      <c r="K321" s="3">
        <v>17641</v>
      </c>
      <c r="L321" s="3">
        <v>78068</v>
      </c>
      <c r="M321" s="3">
        <v>8333</v>
      </c>
      <c r="N321" s="3">
        <v>0</v>
      </c>
      <c r="O321" s="3">
        <v>1000</v>
      </c>
      <c r="P321" s="1" t="s">
        <v>1516</v>
      </c>
      <c r="Q321" s="3">
        <v>445038</v>
      </c>
      <c r="R321" s="25">
        <f t="shared" si="59"/>
        <v>4.2367624378819899</v>
      </c>
      <c r="S321" s="32">
        <f t="shared" si="63"/>
        <v>105042</v>
      </c>
      <c r="T321" s="3">
        <f t="shared" si="60"/>
        <v>0</v>
      </c>
      <c r="U321" s="1" t="s">
        <v>3615</v>
      </c>
      <c r="V321" s="16">
        <v>1</v>
      </c>
      <c r="W321" s="28">
        <f t="shared" si="51"/>
        <v>1</v>
      </c>
      <c r="X321" s="27">
        <f t="shared" si="61"/>
        <v>1</v>
      </c>
      <c r="Y321" s="18"/>
      <c r="Z321" s="19"/>
    </row>
    <row r="322" spans="1:26" x14ac:dyDescent="0.35">
      <c r="A322" s="29">
        <v>1</v>
      </c>
      <c r="B322" s="1" t="s">
        <v>3620</v>
      </c>
      <c r="C322" s="1"/>
      <c r="D322" s="1" t="s">
        <v>1641</v>
      </c>
      <c r="E322" s="1" t="s">
        <v>1642</v>
      </c>
      <c r="F322" s="1" t="s">
        <v>1643</v>
      </c>
      <c r="G322" s="5" t="s">
        <v>1644</v>
      </c>
      <c r="H322" s="1" t="s">
        <v>17</v>
      </c>
      <c r="I322" s="2">
        <v>46086</v>
      </c>
      <c r="J322" s="33">
        <f t="shared" si="58"/>
        <v>61008</v>
      </c>
      <c r="K322" s="3">
        <v>4381</v>
      </c>
      <c r="L322" s="3">
        <v>50627</v>
      </c>
      <c r="M322" s="3">
        <v>5000</v>
      </c>
      <c r="N322" s="3">
        <v>0</v>
      </c>
      <c r="O322" s="3">
        <v>1000</v>
      </c>
      <c r="P322" s="1" t="s">
        <v>1645</v>
      </c>
      <c r="Q322" s="3">
        <v>159712</v>
      </c>
      <c r="R322" s="25">
        <f t="shared" si="59"/>
        <v>2.6178861788617884</v>
      </c>
      <c r="S322" s="32">
        <f t="shared" si="63"/>
        <v>61008</v>
      </c>
      <c r="T322" s="3">
        <f t="shared" si="60"/>
        <v>0</v>
      </c>
      <c r="U322" s="1" t="s">
        <v>3615</v>
      </c>
      <c r="V322" s="16">
        <v>1</v>
      </c>
      <c r="W322" s="28">
        <f t="shared" si="51"/>
        <v>1</v>
      </c>
      <c r="X322" s="27">
        <f t="shared" si="61"/>
        <v>1</v>
      </c>
      <c r="Y322" s="18"/>
      <c r="Z322" s="19"/>
    </row>
    <row r="323" spans="1:26" x14ac:dyDescent="0.35">
      <c r="A323" s="29">
        <v>1</v>
      </c>
      <c r="B323" s="1" t="s">
        <v>3620</v>
      </c>
      <c r="C323" s="1"/>
      <c r="D323" s="1" t="s">
        <v>1598</v>
      </c>
      <c r="E323" s="1" t="s">
        <v>1599</v>
      </c>
      <c r="F323" s="1" t="s">
        <v>1600</v>
      </c>
      <c r="G323" s="5" t="s">
        <v>1601</v>
      </c>
      <c r="H323" s="1" t="s">
        <v>17</v>
      </c>
      <c r="I323" s="2">
        <v>46086</v>
      </c>
      <c r="J323" s="33">
        <f t="shared" si="58"/>
        <v>83087</v>
      </c>
      <c r="K323" s="3">
        <v>13855</v>
      </c>
      <c r="L323" s="3">
        <v>61565</v>
      </c>
      <c r="M323" s="3">
        <v>6667</v>
      </c>
      <c r="N323" s="3">
        <v>0</v>
      </c>
      <c r="O323" s="3">
        <v>1000</v>
      </c>
      <c r="P323" s="1" t="s">
        <v>1602</v>
      </c>
      <c r="Q323" s="3">
        <v>346660</v>
      </c>
      <c r="R323" s="25">
        <f t="shared" si="59"/>
        <v>4.1722531804012659</v>
      </c>
      <c r="S323" s="32">
        <f t="shared" si="63"/>
        <v>83087</v>
      </c>
      <c r="T323" s="3">
        <f t="shared" si="60"/>
        <v>0</v>
      </c>
      <c r="U323" s="1" t="s">
        <v>3615</v>
      </c>
      <c r="V323" s="16">
        <v>1</v>
      </c>
      <c r="W323" s="28">
        <f t="shared" ref="W323:W386" si="64">V323/A323</f>
        <v>1</v>
      </c>
      <c r="X323" s="27">
        <f t="shared" si="61"/>
        <v>1</v>
      </c>
      <c r="Y323" s="18"/>
      <c r="Z323" s="19"/>
    </row>
    <row r="324" spans="1:26" x14ac:dyDescent="0.35">
      <c r="A324" s="29">
        <v>1</v>
      </c>
      <c r="B324" s="1" t="s">
        <v>3620</v>
      </c>
      <c r="C324" s="1"/>
      <c r="D324" s="1" t="s">
        <v>1408</v>
      </c>
      <c r="E324" s="1" t="s">
        <v>1409</v>
      </c>
      <c r="F324" s="1" t="s">
        <v>1410</v>
      </c>
      <c r="G324" s="5" t="s">
        <v>1411</v>
      </c>
      <c r="H324" s="1" t="s">
        <v>17</v>
      </c>
      <c r="I324" s="2">
        <v>46086</v>
      </c>
      <c r="J324" s="33">
        <f t="shared" si="58"/>
        <v>41005</v>
      </c>
      <c r="K324" s="3">
        <v>3389</v>
      </c>
      <c r="L324" s="3">
        <v>33283</v>
      </c>
      <c r="M324" s="3">
        <v>3333</v>
      </c>
      <c r="N324" s="3">
        <v>0</v>
      </c>
      <c r="O324" s="3">
        <v>1000</v>
      </c>
      <c r="P324" s="1" t="s">
        <v>1412</v>
      </c>
      <c r="Q324" s="3">
        <v>63804</v>
      </c>
      <c r="R324" s="25">
        <f t="shared" si="59"/>
        <v>1.5560053651993659</v>
      </c>
      <c r="S324" s="32">
        <f t="shared" si="63"/>
        <v>41005</v>
      </c>
      <c r="T324" s="3">
        <f t="shared" si="60"/>
        <v>0</v>
      </c>
      <c r="U324" s="1" t="s">
        <v>3615</v>
      </c>
      <c r="V324" s="16">
        <v>1</v>
      </c>
      <c r="W324" s="28">
        <f t="shared" si="64"/>
        <v>1</v>
      </c>
      <c r="X324" s="27">
        <f t="shared" si="61"/>
        <v>1</v>
      </c>
      <c r="Y324" s="18"/>
      <c r="Z324" s="19"/>
    </row>
    <row r="325" spans="1:26" x14ac:dyDescent="0.35">
      <c r="A325" s="29">
        <v>1</v>
      </c>
      <c r="B325" s="1" t="s">
        <v>3620</v>
      </c>
      <c r="C325" s="1"/>
      <c r="D325" s="1" t="s">
        <v>1584</v>
      </c>
      <c r="E325" s="1" t="s">
        <v>1585</v>
      </c>
      <c r="F325" s="1" t="s">
        <v>1586</v>
      </c>
      <c r="G325" s="5" t="s">
        <v>1587</v>
      </c>
      <c r="H325" s="1" t="s">
        <v>467</v>
      </c>
      <c r="I325" s="2">
        <v>46086</v>
      </c>
      <c r="J325" s="33">
        <f t="shared" si="58"/>
        <v>160082</v>
      </c>
      <c r="K325" s="3">
        <v>10642</v>
      </c>
      <c r="L325" s="3">
        <v>148440</v>
      </c>
      <c r="M325" s="3">
        <v>0</v>
      </c>
      <c r="N325" s="3">
        <v>0</v>
      </c>
      <c r="O325" s="3">
        <v>1000</v>
      </c>
      <c r="P325" s="1" t="s">
        <v>1588</v>
      </c>
      <c r="Q325" s="3">
        <v>205385</v>
      </c>
      <c r="R325" s="25">
        <f t="shared" si="59"/>
        <v>1.2829987131595058</v>
      </c>
      <c r="S325" s="32">
        <f t="shared" si="63"/>
        <v>160082</v>
      </c>
      <c r="T325" s="3">
        <f t="shared" si="60"/>
        <v>0</v>
      </c>
      <c r="U325" s="1" t="s">
        <v>3615</v>
      </c>
      <c r="V325" s="16">
        <v>1</v>
      </c>
      <c r="W325" s="28">
        <f t="shared" si="64"/>
        <v>1</v>
      </c>
      <c r="X325" s="27">
        <f t="shared" si="61"/>
        <v>1</v>
      </c>
      <c r="Y325" s="18"/>
      <c r="Z325" s="19"/>
    </row>
    <row r="326" spans="1:26" x14ac:dyDescent="0.35">
      <c r="A326" s="29">
        <v>1</v>
      </c>
      <c r="B326" s="1" t="s">
        <v>3620</v>
      </c>
      <c r="C326" s="1"/>
      <c r="D326" s="1" t="s">
        <v>1608</v>
      </c>
      <c r="E326" s="1" t="s">
        <v>1609</v>
      </c>
      <c r="F326" s="1" t="s">
        <v>1610</v>
      </c>
      <c r="G326" s="5" t="s">
        <v>1611</v>
      </c>
      <c r="H326" s="1" t="s">
        <v>17</v>
      </c>
      <c r="I326" s="2">
        <v>46086</v>
      </c>
      <c r="J326" s="33">
        <f t="shared" si="58"/>
        <v>209084</v>
      </c>
      <c r="K326" s="3">
        <v>39762</v>
      </c>
      <c r="L326" s="3">
        <v>151655</v>
      </c>
      <c r="M326" s="3">
        <v>16667</v>
      </c>
      <c r="N326" s="3">
        <v>0</v>
      </c>
      <c r="O326" s="3">
        <v>1000</v>
      </c>
      <c r="P326" s="1" t="s">
        <v>1612</v>
      </c>
      <c r="Q326" s="3">
        <v>748004</v>
      </c>
      <c r="R326" s="25">
        <f t="shared" si="59"/>
        <v>3.5775286487727422</v>
      </c>
      <c r="S326" s="32">
        <f t="shared" si="63"/>
        <v>209084</v>
      </c>
      <c r="T326" s="3">
        <f t="shared" si="60"/>
        <v>0</v>
      </c>
      <c r="U326" s="1" t="s">
        <v>3615</v>
      </c>
      <c r="V326" s="16">
        <v>1</v>
      </c>
      <c r="W326" s="28">
        <f t="shared" si="64"/>
        <v>1</v>
      </c>
      <c r="X326" s="27">
        <f t="shared" si="61"/>
        <v>1</v>
      </c>
      <c r="Y326" s="18"/>
      <c r="Z326" s="19"/>
    </row>
    <row r="327" spans="1:26" x14ac:dyDescent="0.35">
      <c r="A327" s="29">
        <v>1</v>
      </c>
      <c r="B327" s="1" t="s">
        <v>3620</v>
      </c>
      <c r="C327" s="1"/>
      <c r="D327" s="1" t="s">
        <v>1704</v>
      </c>
      <c r="E327" s="1" t="s">
        <v>1705</v>
      </c>
      <c r="F327" s="1" t="s">
        <v>1706</v>
      </c>
      <c r="G327" s="5" t="s">
        <v>1707</v>
      </c>
      <c r="H327" s="1" t="s">
        <v>467</v>
      </c>
      <c r="I327" s="2">
        <v>46086</v>
      </c>
      <c r="J327" s="33">
        <f t="shared" si="58"/>
        <v>16908</v>
      </c>
      <c r="K327" s="3">
        <v>1065</v>
      </c>
      <c r="L327" s="3">
        <v>14843</v>
      </c>
      <c r="M327" s="3">
        <v>0</v>
      </c>
      <c r="N327" s="3">
        <v>0</v>
      </c>
      <c r="O327" s="3">
        <v>1000</v>
      </c>
      <c r="P327" s="1" t="s">
        <v>1708</v>
      </c>
      <c r="Q327" s="3">
        <v>91564</v>
      </c>
      <c r="R327" s="25">
        <f t="shared" si="59"/>
        <v>5.4154246510527564</v>
      </c>
      <c r="S327" s="32">
        <f t="shared" si="63"/>
        <v>16908</v>
      </c>
      <c r="T327" s="3">
        <f t="shared" si="60"/>
        <v>0</v>
      </c>
      <c r="U327" s="1" t="s">
        <v>3615</v>
      </c>
      <c r="V327" s="16">
        <v>1</v>
      </c>
      <c r="W327" s="28">
        <f t="shared" si="64"/>
        <v>1</v>
      </c>
      <c r="X327" s="27">
        <f t="shared" si="61"/>
        <v>1</v>
      </c>
      <c r="Y327" s="18"/>
      <c r="Z327" s="19"/>
    </row>
    <row r="328" spans="1:26" x14ac:dyDescent="0.35">
      <c r="A328" s="29">
        <v>1</v>
      </c>
      <c r="B328" s="1" t="s">
        <v>3620</v>
      </c>
      <c r="C328" s="1"/>
      <c r="D328" s="1" t="s">
        <v>1553</v>
      </c>
      <c r="E328" s="1" t="s">
        <v>1554</v>
      </c>
      <c r="F328" s="1" t="s">
        <v>1555</v>
      </c>
      <c r="G328" s="5" t="s">
        <v>1556</v>
      </c>
      <c r="H328" s="1" t="s">
        <v>32</v>
      </c>
      <c r="I328" s="2">
        <v>46086</v>
      </c>
      <c r="J328" s="33">
        <f t="shared" si="58"/>
        <v>70069</v>
      </c>
      <c r="K328" s="3">
        <v>10341</v>
      </c>
      <c r="L328" s="3">
        <v>53465</v>
      </c>
      <c r="M328" s="3">
        <v>5263</v>
      </c>
      <c r="N328" s="3">
        <v>0</v>
      </c>
      <c r="O328" s="3">
        <v>1000</v>
      </c>
      <c r="P328" s="1" t="s">
        <v>1557</v>
      </c>
      <c r="Q328" s="3">
        <v>483631</v>
      </c>
      <c r="R328" s="25">
        <f t="shared" si="59"/>
        <v>6.9022106780459263</v>
      </c>
      <c r="S328" s="32">
        <f t="shared" si="63"/>
        <v>70069</v>
      </c>
      <c r="T328" s="3">
        <f t="shared" si="60"/>
        <v>0</v>
      </c>
      <c r="U328" s="1" t="s">
        <v>3615</v>
      </c>
      <c r="V328" s="16">
        <v>1</v>
      </c>
      <c r="W328" s="28">
        <f t="shared" si="64"/>
        <v>1</v>
      </c>
      <c r="X328" s="27">
        <f t="shared" si="61"/>
        <v>1</v>
      </c>
      <c r="Y328" s="18"/>
      <c r="Z328" s="19"/>
    </row>
    <row r="329" spans="1:26" x14ac:dyDescent="0.35">
      <c r="A329" s="29">
        <v>1</v>
      </c>
      <c r="B329" s="1" t="s">
        <v>3620</v>
      </c>
      <c r="C329" s="1"/>
      <c r="D329" s="1" t="s">
        <v>1440</v>
      </c>
      <c r="E329" s="1" t="s">
        <v>1441</v>
      </c>
      <c r="F329" s="1" t="s">
        <v>1442</v>
      </c>
      <c r="G329" s="5" t="s">
        <v>1443</v>
      </c>
      <c r="H329" s="1" t="s">
        <v>17</v>
      </c>
      <c r="I329" s="2">
        <v>46086</v>
      </c>
      <c r="J329" s="33">
        <f t="shared" si="58"/>
        <v>100372</v>
      </c>
      <c r="K329" s="3">
        <v>9477</v>
      </c>
      <c r="L329" s="3">
        <v>82203</v>
      </c>
      <c r="M329" s="3">
        <v>7692</v>
      </c>
      <c r="N329" s="3">
        <v>0</v>
      </c>
      <c r="O329" s="3">
        <v>1000</v>
      </c>
      <c r="P329" s="1" t="s">
        <v>1444</v>
      </c>
      <c r="Q329" s="3">
        <v>215787</v>
      </c>
      <c r="R329" s="25">
        <f t="shared" si="59"/>
        <v>2.1498724743952495</v>
      </c>
      <c r="S329" s="32">
        <f t="shared" si="63"/>
        <v>100372</v>
      </c>
      <c r="T329" s="3">
        <f t="shared" si="60"/>
        <v>0</v>
      </c>
      <c r="U329" s="1" t="s">
        <v>3615</v>
      </c>
      <c r="V329" s="16">
        <v>1</v>
      </c>
      <c r="W329" s="28">
        <f t="shared" si="64"/>
        <v>1</v>
      </c>
      <c r="X329" s="27">
        <f t="shared" si="61"/>
        <v>1</v>
      </c>
      <c r="Y329" s="18"/>
      <c r="Z329" s="19"/>
    </row>
    <row r="330" spans="1:26" x14ac:dyDescent="0.35">
      <c r="A330" s="29">
        <v>1</v>
      </c>
      <c r="B330" s="1" t="s">
        <v>3620</v>
      </c>
      <c r="C330" s="1"/>
      <c r="D330" s="1" t="s">
        <v>1426</v>
      </c>
      <c r="E330" s="1" t="s">
        <v>1427</v>
      </c>
      <c r="F330" s="1" t="s">
        <v>1428</v>
      </c>
      <c r="G330" s="5" t="s">
        <v>1429</v>
      </c>
      <c r="H330" s="1" t="s">
        <v>17</v>
      </c>
      <c r="I330" s="2">
        <v>46086</v>
      </c>
      <c r="J330" s="33">
        <f t="shared" si="58"/>
        <v>101013</v>
      </c>
      <c r="K330" s="3">
        <v>8473</v>
      </c>
      <c r="L330" s="3">
        <v>83207</v>
      </c>
      <c r="M330" s="3">
        <v>8333</v>
      </c>
      <c r="N330" s="3">
        <v>0</v>
      </c>
      <c r="O330" s="3">
        <v>1000</v>
      </c>
      <c r="P330" s="1" t="s">
        <v>1430</v>
      </c>
      <c r="Q330" s="3">
        <v>265235</v>
      </c>
      <c r="R330" s="25">
        <f t="shared" si="59"/>
        <v>2.6257511409422549</v>
      </c>
      <c r="S330" s="32">
        <f t="shared" si="63"/>
        <v>101013</v>
      </c>
      <c r="T330" s="3">
        <f t="shared" si="60"/>
        <v>0</v>
      </c>
      <c r="U330" s="1" t="s">
        <v>3615</v>
      </c>
      <c r="V330" s="16">
        <v>1</v>
      </c>
      <c r="W330" s="28">
        <f t="shared" si="64"/>
        <v>1</v>
      </c>
      <c r="X330" s="27">
        <f t="shared" si="61"/>
        <v>1</v>
      </c>
      <c r="Y330" s="18"/>
      <c r="Z330" s="19"/>
    </row>
    <row r="331" spans="1:26" x14ac:dyDescent="0.35">
      <c r="A331" s="29">
        <v>1</v>
      </c>
      <c r="B331" s="1" t="s">
        <v>3620</v>
      </c>
      <c r="C331" s="1"/>
      <c r="D331" s="1" t="s">
        <v>1431</v>
      </c>
      <c r="E331" s="1" t="s">
        <v>1432</v>
      </c>
      <c r="F331" s="1" t="s">
        <v>1433</v>
      </c>
      <c r="G331" s="5" t="s">
        <v>1434</v>
      </c>
      <c r="H331" s="1" t="s">
        <v>17</v>
      </c>
      <c r="I331" s="2">
        <v>46086</v>
      </c>
      <c r="J331" s="33">
        <f t="shared" si="58"/>
        <v>101013</v>
      </c>
      <c r="K331" s="3">
        <v>8466</v>
      </c>
      <c r="L331" s="3">
        <v>83214</v>
      </c>
      <c r="M331" s="3">
        <v>8333</v>
      </c>
      <c r="N331" s="3">
        <v>0</v>
      </c>
      <c r="O331" s="3">
        <v>1000</v>
      </c>
      <c r="P331" s="1" t="s">
        <v>1435</v>
      </c>
      <c r="Q331" s="3">
        <v>338920</v>
      </c>
      <c r="R331" s="25">
        <f t="shared" si="59"/>
        <v>3.3552117054240544</v>
      </c>
      <c r="S331" s="32">
        <f t="shared" si="63"/>
        <v>101013</v>
      </c>
      <c r="T331" s="3">
        <f t="shared" si="60"/>
        <v>0</v>
      </c>
      <c r="U331" s="1" t="s">
        <v>3615</v>
      </c>
      <c r="V331" s="16">
        <v>1</v>
      </c>
      <c r="W331" s="28">
        <f t="shared" si="64"/>
        <v>1</v>
      </c>
      <c r="X331" s="27">
        <f t="shared" si="61"/>
        <v>1</v>
      </c>
      <c r="Y331" s="18"/>
      <c r="Z331" s="19"/>
    </row>
    <row r="332" spans="1:26" x14ac:dyDescent="0.35">
      <c r="A332" s="29">
        <v>1</v>
      </c>
      <c r="B332" s="1" t="s">
        <v>3620</v>
      </c>
      <c r="C332" s="1"/>
      <c r="D332" s="1" t="s">
        <v>1517</v>
      </c>
      <c r="E332" s="1" t="s">
        <v>1518</v>
      </c>
      <c r="F332" s="1" t="s">
        <v>1519</v>
      </c>
      <c r="G332" s="5" t="s">
        <v>1520</v>
      </c>
      <c r="H332" s="1" t="s">
        <v>17</v>
      </c>
      <c r="I332" s="2">
        <v>46086</v>
      </c>
      <c r="J332" s="33">
        <f t="shared" si="58"/>
        <v>245833</v>
      </c>
      <c r="K332" s="3">
        <v>36631</v>
      </c>
      <c r="L332" s="3">
        <v>188202</v>
      </c>
      <c r="M332" s="3">
        <v>20000</v>
      </c>
      <c r="N332" s="3">
        <v>0</v>
      </c>
      <c r="O332" s="3">
        <v>1000</v>
      </c>
      <c r="P332" s="1" t="s">
        <v>1521</v>
      </c>
      <c r="Q332" s="3">
        <v>1099381</v>
      </c>
      <c r="R332" s="25">
        <f t="shared" si="59"/>
        <v>4.4720643689008392</v>
      </c>
      <c r="S332" s="32">
        <f t="shared" si="63"/>
        <v>245833</v>
      </c>
      <c r="T332" s="3">
        <f t="shared" si="60"/>
        <v>0</v>
      </c>
      <c r="U332" s="1" t="s">
        <v>3615</v>
      </c>
      <c r="V332" s="16">
        <v>1</v>
      </c>
      <c r="W332" s="28">
        <f t="shared" si="64"/>
        <v>1</v>
      </c>
      <c r="X332" s="27">
        <f t="shared" si="61"/>
        <v>1</v>
      </c>
      <c r="Y332" s="18"/>
      <c r="Z332" s="19"/>
    </row>
    <row r="333" spans="1:26" x14ac:dyDescent="0.35">
      <c r="A333" s="29">
        <v>1</v>
      </c>
      <c r="B333" s="1" t="s">
        <v>3620</v>
      </c>
      <c r="C333" s="1"/>
      <c r="D333" s="1" t="s">
        <v>1851</v>
      </c>
      <c r="E333" s="1" t="s">
        <v>1852</v>
      </c>
      <c r="F333" s="1" t="s">
        <v>1853</v>
      </c>
      <c r="G333" s="5" t="s">
        <v>1854</v>
      </c>
      <c r="H333" s="1" t="s">
        <v>17</v>
      </c>
      <c r="I333" s="2">
        <v>46086</v>
      </c>
      <c r="J333" s="33">
        <f t="shared" si="58"/>
        <v>151020</v>
      </c>
      <c r="K333" s="3">
        <v>25890</v>
      </c>
      <c r="L333" s="3">
        <v>111630</v>
      </c>
      <c r="M333" s="3">
        <v>12500</v>
      </c>
      <c r="N333" s="3">
        <v>0</v>
      </c>
      <c r="O333" s="3">
        <v>1000</v>
      </c>
      <c r="P333" s="1" t="s">
        <v>1855</v>
      </c>
      <c r="Q333" s="3">
        <v>492976</v>
      </c>
      <c r="R333" s="25">
        <f t="shared" si="59"/>
        <v>3.2643093629982785</v>
      </c>
      <c r="S333" s="32">
        <f t="shared" si="63"/>
        <v>151020</v>
      </c>
      <c r="T333" s="3">
        <f t="shared" si="60"/>
        <v>0</v>
      </c>
      <c r="U333" s="1" t="s">
        <v>3615</v>
      </c>
      <c r="V333" s="16">
        <v>1</v>
      </c>
      <c r="W333" s="28">
        <f t="shared" si="64"/>
        <v>1</v>
      </c>
      <c r="X333" s="27">
        <f t="shared" si="61"/>
        <v>1</v>
      </c>
      <c r="Y333" s="18"/>
      <c r="Z333" s="19"/>
    </row>
    <row r="334" spans="1:26" x14ac:dyDescent="0.35">
      <c r="A334" s="29">
        <v>1</v>
      </c>
      <c r="B334" s="1" t="s">
        <v>3620</v>
      </c>
      <c r="C334" s="1"/>
      <c r="D334" s="1" t="s">
        <v>1856</v>
      </c>
      <c r="E334" s="1" t="s">
        <v>1857</v>
      </c>
      <c r="F334" s="1" t="s">
        <v>1858</v>
      </c>
      <c r="G334" s="5" t="s">
        <v>1859</v>
      </c>
      <c r="H334" s="1" t="s">
        <v>17</v>
      </c>
      <c r="I334" s="2">
        <v>46086</v>
      </c>
      <c r="J334" s="33">
        <f t="shared" si="58"/>
        <v>123417</v>
      </c>
      <c r="K334" s="3">
        <v>22192</v>
      </c>
      <c r="L334" s="3">
        <v>90225</v>
      </c>
      <c r="M334" s="3">
        <v>10000</v>
      </c>
      <c r="N334" s="3">
        <v>0</v>
      </c>
      <c r="O334" s="3">
        <v>1000</v>
      </c>
      <c r="P334" s="1" t="s">
        <v>1860</v>
      </c>
      <c r="Q334" s="3">
        <v>233507</v>
      </c>
      <c r="R334" s="25">
        <f t="shared" si="59"/>
        <v>1.8920164969169564</v>
      </c>
      <c r="S334" s="32">
        <f t="shared" si="63"/>
        <v>123417</v>
      </c>
      <c r="T334" s="3">
        <f t="shared" si="60"/>
        <v>0</v>
      </c>
      <c r="U334" s="1" t="s">
        <v>3615</v>
      </c>
      <c r="V334" s="16">
        <v>1</v>
      </c>
      <c r="W334" s="28">
        <f t="shared" si="64"/>
        <v>1</v>
      </c>
      <c r="X334" s="27">
        <f t="shared" si="61"/>
        <v>1</v>
      </c>
      <c r="Y334" s="18"/>
      <c r="Z334" s="19"/>
    </row>
    <row r="335" spans="1:26" x14ac:dyDescent="0.35">
      <c r="A335" s="29">
        <v>1</v>
      </c>
      <c r="B335" s="1" t="s">
        <v>3620</v>
      </c>
      <c r="C335" s="1"/>
      <c r="D335" s="1" t="s">
        <v>1413</v>
      </c>
      <c r="E335" s="1" t="s">
        <v>1414</v>
      </c>
      <c r="F335" s="1" t="s">
        <v>1415</v>
      </c>
      <c r="G335" s="5" t="s">
        <v>1416</v>
      </c>
      <c r="H335" s="1" t="s">
        <v>17</v>
      </c>
      <c r="I335" s="2">
        <v>46086</v>
      </c>
      <c r="J335" s="33">
        <f t="shared" si="58"/>
        <v>139723</v>
      </c>
      <c r="K335" s="3">
        <v>20914</v>
      </c>
      <c r="L335" s="3">
        <v>106698</v>
      </c>
      <c r="M335" s="3">
        <v>11111</v>
      </c>
      <c r="N335" s="3">
        <v>0</v>
      </c>
      <c r="O335" s="3">
        <v>1000</v>
      </c>
      <c r="P335" s="1" t="s">
        <v>1417</v>
      </c>
      <c r="Q335" s="3">
        <v>333743</v>
      </c>
      <c r="R335" s="25">
        <f t="shared" si="59"/>
        <v>2.3886045962368398</v>
      </c>
      <c r="S335" s="32">
        <f t="shared" si="63"/>
        <v>139723</v>
      </c>
      <c r="T335" s="3">
        <f t="shared" si="60"/>
        <v>0</v>
      </c>
      <c r="U335" s="1" t="s">
        <v>3615</v>
      </c>
      <c r="V335" s="16">
        <v>1</v>
      </c>
      <c r="W335" s="28">
        <f t="shared" si="64"/>
        <v>1</v>
      </c>
      <c r="X335" s="27">
        <f t="shared" si="61"/>
        <v>1</v>
      </c>
      <c r="Y335" s="18"/>
      <c r="Z335" s="19"/>
    </row>
    <row r="336" spans="1:26" x14ac:dyDescent="0.35">
      <c r="A336" s="29">
        <v>1</v>
      </c>
      <c r="B336" s="1" t="s">
        <v>3620</v>
      </c>
      <c r="C336" s="1"/>
      <c r="D336" s="1" t="s">
        <v>1385</v>
      </c>
      <c r="E336" s="1" t="s">
        <v>1386</v>
      </c>
      <c r="F336" s="1" t="s">
        <v>1387</v>
      </c>
      <c r="G336" s="5" t="s">
        <v>1388</v>
      </c>
      <c r="H336" s="1" t="s">
        <v>32</v>
      </c>
      <c r="I336" s="2">
        <v>46086</v>
      </c>
      <c r="J336" s="33">
        <f t="shared" si="58"/>
        <v>347807</v>
      </c>
      <c r="K336" s="3">
        <v>48574</v>
      </c>
      <c r="L336" s="3">
        <v>270455</v>
      </c>
      <c r="M336" s="3">
        <v>27778</v>
      </c>
      <c r="N336" s="3">
        <v>0</v>
      </c>
      <c r="O336" s="3">
        <v>1000</v>
      </c>
      <c r="P336" s="1" t="s">
        <v>1389</v>
      </c>
      <c r="Q336" s="3">
        <v>1723335</v>
      </c>
      <c r="R336" s="25">
        <f t="shared" si="59"/>
        <v>4.9548600229437589</v>
      </c>
      <c r="S336" s="32">
        <f t="shared" si="63"/>
        <v>347807</v>
      </c>
      <c r="T336" s="3">
        <f t="shared" si="60"/>
        <v>0</v>
      </c>
      <c r="U336" s="1" t="s">
        <v>3615</v>
      </c>
      <c r="V336" s="16">
        <v>1</v>
      </c>
      <c r="W336" s="28">
        <f t="shared" si="64"/>
        <v>1</v>
      </c>
      <c r="X336" s="27">
        <f t="shared" si="61"/>
        <v>1</v>
      </c>
      <c r="Y336" s="18"/>
      <c r="Z336" s="19"/>
    </row>
    <row r="337" spans="1:26" x14ac:dyDescent="0.35">
      <c r="A337" s="29">
        <v>1</v>
      </c>
      <c r="B337" s="1" t="s">
        <v>3620</v>
      </c>
      <c r="C337" s="1"/>
      <c r="D337" s="1" t="s">
        <v>1713</v>
      </c>
      <c r="E337" s="1" t="s">
        <v>1714</v>
      </c>
      <c r="F337" s="1" t="s">
        <v>1715</v>
      </c>
      <c r="G337" s="5" t="s">
        <v>1716</v>
      </c>
      <c r="H337" s="1" t="s">
        <v>17</v>
      </c>
      <c r="I337" s="2">
        <v>46086</v>
      </c>
      <c r="J337" s="33">
        <f t="shared" si="58"/>
        <v>51007</v>
      </c>
      <c r="K337" s="3">
        <v>5893</v>
      </c>
      <c r="L337" s="3">
        <v>39947</v>
      </c>
      <c r="M337" s="3">
        <v>4167</v>
      </c>
      <c r="N337" s="3">
        <v>0</v>
      </c>
      <c r="O337" s="3">
        <v>1000</v>
      </c>
      <c r="P337" s="1" t="s">
        <v>1717</v>
      </c>
      <c r="Q337" s="3">
        <v>218790</v>
      </c>
      <c r="R337" s="25">
        <f t="shared" si="59"/>
        <v>4.2894112572784131</v>
      </c>
      <c r="S337" s="32">
        <f t="shared" si="63"/>
        <v>51007</v>
      </c>
      <c r="T337" s="3">
        <f t="shared" si="60"/>
        <v>0</v>
      </c>
      <c r="U337" s="1" t="s">
        <v>3615</v>
      </c>
      <c r="V337" s="16">
        <v>1</v>
      </c>
      <c r="W337" s="28">
        <f t="shared" si="64"/>
        <v>1</v>
      </c>
      <c r="X337" s="27">
        <f t="shared" si="61"/>
        <v>1</v>
      </c>
      <c r="Y337" s="18"/>
      <c r="Z337" s="19"/>
    </row>
    <row r="338" spans="1:26" x14ac:dyDescent="0.35">
      <c r="A338" s="29">
        <v>1</v>
      </c>
      <c r="B338" s="1" t="s">
        <v>3620</v>
      </c>
      <c r="C338" s="1"/>
      <c r="D338" s="1" t="s">
        <v>1394</v>
      </c>
      <c r="E338" s="1" t="s">
        <v>1395</v>
      </c>
      <c r="F338" s="1" t="s">
        <v>1396</v>
      </c>
      <c r="G338" s="5" t="s">
        <v>1397</v>
      </c>
      <c r="H338" s="1" t="s">
        <v>17</v>
      </c>
      <c r="I338" s="2">
        <v>46086</v>
      </c>
      <c r="J338" s="33">
        <f t="shared" si="58"/>
        <v>123417</v>
      </c>
      <c r="K338" s="3">
        <v>13134</v>
      </c>
      <c r="L338" s="3">
        <v>99283</v>
      </c>
      <c r="M338" s="3">
        <v>10000</v>
      </c>
      <c r="N338" s="3">
        <v>0</v>
      </c>
      <c r="O338" s="3">
        <v>1000</v>
      </c>
      <c r="P338" s="1" t="s">
        <v>1398</v>
      </c>
      <c r="Q338" s="3">
        <v>577854</v>
      </c>
      <c r="R338" s="25">
        <f t="shared" si="59"/>
        <v>4.6821264493546266</v>
      </c>
      <c r="S338" s="32">
        <f t="shared" si="63"/>
        <v>123417</v>
      </c>
      <c r="T338" s="3">
        <f t="shared" si="60"/>
        <v>0</v>
      </c>
      <c r="U338" s="1" t="s">
        <v>3615</v>
      </c>
      <c r="V338" s="16">
        <v>1</v>
      </c>
      <c r="W338" s="28">
        <f t="shared" si="64"/>
        <v>1</v>
      </c>
      <c r="X338" s="27">
        <f t="shared" si="61"/>
        <v>1</v>
      </c>
      <c r="Y338" s="18"/>
      <c r="Z338" s="19"/>
    </row>
    <row r="339" spans="1:26" x14ac:dyDescent="0.35">
      <c r="A339" s="29">
        <v>1</v>
      </c>
      <c r="B339" s="1" t="s">
        <v>3620</v>
      </c>
      <c r="C339" s="1"/>
      <c r="D339" s="1" t="s">
        <v>1690</v>
      </c>
      <c r="E339" s="1" t="s">
        <v>1691</v>
      </c>
      <c r="F339" s="1" t="s">
        <v>1692</v>
      </c>
      <c r="G339" s="5" t="s">
        <v>1693</v>
      </c>
      <c r="H339" s="1" t="s">
        <v>17</v>
      </c>
      <c r="I339" s="2">
        <v>46086</v>
      </c>
      <c r="J339" s="33">
        <f t="shared" si="58"/>
        <v>101013</v>
      </c>
      <c r="K339" s="3">
        <v>8423</v>
      </c>
      <c r="L339" s="3">
        <v>83257</v>
      </c>
      <c r="M339" s="3">
        <v>8333</v>
      </c>
      <c r="N339" s="3">
        <v>0</v>
      </c>
      <c r="O339" s="3">
        <v>1000</v>
      </c>
      <c r="P339" s="1" t="s">
        <v>1694</v>
      </c>
      <c r="Q339" s="3">
        <v>404145</v>
      </c>
      <c r="R339" s="25">
        <f t="shared" si="59"/>
        <v>4.000920673576668</v>
      </c>
      <c r="S339" s="32">
        <f t="shared" si="63"/>
        <v>101013</v>
      </c>
      <c r="T339" s="3">
        <f t="shared" si="60"/>
        <v>0</v>
      </c>
      <c r="U339" s="1" t="s">
        <v>3615</v>
      </c>
      <c r="V339" s="16">
        <v>1</v>
      </c>
      <c r="W339" s="28">
        <f t="shared" si="64"/>
        <v>1</v>
      </c>
      <c r="X339" s="27">
        <f t="shared" si="61"/>
        <v>1</v>
      </c>
      <c r="Y339" s="18"/>
      <c r="Z339" s="19"/>
    </row>
    <row r="340" spans="1:26" x14ac:dyDescent="0.35">
      <c r="A340" s="29">
        <v>1</v>
      </c>
      <c r="B340" s="1" t="s">
        <v>3620</v>
      </c>
      <c r="C340" s="1"/>
      <c r="D340" s="1" t="s">
        <v>1837</v>
      </c>
      <c r="E340" s="1" t="s">
        <v>1838</v>
      </c>
      <c r="F340" s="1" t="s">
        <v>1839</v>
      </c>
      <c r="G340" s="5" t="s">
        <v>1840</v>
      </c>
      <c r="H340" s="1" t="s">
        <v>17</v>
      </c>
      <c r="I340" s="2">
        <v>46086</v>
      </c>
      <c r="J340" s="33">
        <f t="shared" si="58"/>
        <v>174403</v>
      </c>
      <c r="K340" s="3">
        <v>43151</v>
      </c>
      <c r="L340" s="3">
        <v>116363</v>
      </c>
      <c r="M340" s="3">
        <v>13889</v>
      </c>
      <c r="N340" s="3">
        <v>0</v>
      </c>
      <c r="O340" s="3">
        <v>1000</v>
      </c>
      <c r="P340" s="1" t="s">
        <v>1841</v>
      </c>
      <c r="Q340" s="3">
        <v>219201</v>
      </c>
      <c r="R340" s="25">
        <f t="shared" si="59"/>
        <v>1.256864847508357</v>
      </c>
      <c r="S340" s="32">
        <f t="shared" si="63"/>
        <v>174403</v>
      </c>
      <c r="T340" s="3">
        <f t="shared" si="60"/>
        <v>0</v>
      </c>
      <c r="U340" s="1" t="s">
        <v>3615</v>
      </c>
      <c r="V340" s="16">
        <v>1</v>
      </c>
      <c r="W340" s="28">
        <f t="shared" si="64"/>
        <v>1</v>
      </c>
      <c r="X340" s="27">
        <f t="shared" si="61"/>
        <v>1</v>
      </c>
      <c r="Y340" s="18"/>
      <c r="Z340" s="19"/>
    </row>
    <row r="341" spans="1:26" x14ac:dyDescent="0.35">
      <c r="A341" s="29">
        <v>1</v>
      </c>
      <c r="B341" s="1" t="s">
        <v>3620</v>
      </c>
      <c r="C341" s="1"/>
      <c r="D341" s="1" t="s">
        <v>245</v>
      </c>
      <c r="E341" s="1" t="s">
        <v>246</v>
      </c>
      <c r="F341" s="1" t="s">
        <v>247</v>
      </c>
      <c r="G341" s="5" t="s">
        <v>248</v>
      </c>
      <c r="H341" s="1" t="s">
        <v>17</v>
      </c>
      <c r="I341" s="2">
        <v>46086</v>
      </c>
      <c r="J341" s="33">
        <f t="shared" ref="J341:J372" si="65">SUM(K341:O341)</f>
        <v>71009</v>
      </c>
      <c r="K341" s="3">
        <v>7480</v>
      </c>
      <c r="L341" s="3">
        <v>56696</v>
      </c>
      <c r="M341" s="3">
        <v>5833</v>
      </c>
      <c r="N341" s="3">
        <v>0</v>
      </c>
      <c r="O341" s="3">
        <v>1000</v>
      </c>
      <c r="P341" s="1" t="s">
        <v>249</v>
      </c>
      <c r="Q341" s="3">
        <v>19890</v>
      </c>
      <c r="R341" s="25">
        <f t="shared" ref="R341:R372" si="66">Q341/J341</f>
        <v>0.28010533875987553</v>
      </c>
      <c r="S341" s="32">
        <f>Q341</f>
        <v>19890</v>
      </c>
      <c r="T341" s="31">
        <f t="shared" ref="T341:T372" si="67">S341-J341</f>
        <v>-51119</v>
      </c>
      <c r="U341" s="1" t="s">
        <v>3616</v>
      </c>
      <c r="V341" s="16"/>
      <c r="W341" s="30">
        <f t="shared" si="64"/>
        <v>0</v>
      </c>
      <c r="X341" s="27">
        <f t="shared" ref="X341:X372" si="68">S341/J341</f>
        <v>0.28010533875987553</v>
      </c>
      <c r="Y341" s="18"/>
      <c r="Z341" s="19"/>
    </row>
    <row r="342" spans="1:26" x14ac:dyDescent="0.35">
      <c r="A342" s="29">
        <v>1</v>
      </c>
      <c r="B342" s="1" t="s">
        <v>3620</v>
      </c>
      <c r="C342" s="1"/>
      <c r="D342" s="1" t="s">
        <v>1492</v>
      </c>
      <c r="E342" s="1" t="s">
        <v>1493</v>
      </c>
      <c r="F342" s="1" t="s">
        <v>1494</v>
      </c>
      <c r="G342" s="5" t="s">
        <v>1495</v>
      </c>
      <c r="H342" s="1" t="s">
        <v>17</v>
      </c>
      <c r="I342" s="2">
        <v>46086</v>
      </c>
      <c r="J342" s="33">
        <f t="shared" si="65"/>
        <v>82611</v>
      </c>
      <c r="K342" s="3">
        <v>10516</v>
      </c>
      <c r="L342" s="3">
        <v>64428</v>
      </c>
      <c r="M342" s="3">
        <v>6667</v>
      </c>
      <c r="N342" s="3">
        <v>0</v>
      </c>
      <c r="O342" s="3">
        <v>1000</v>
      </c>
      <c r="P342" s="1" t="s">
        <v>1496</v>
      </c>
      <c r="Q342" s="3">
        <v>383392</v>
      </c>
      <c r="R342" s="25">
        <f t="shared" si="66"/>
        <v>4.6409315950660321</v>
      </c>
      <c r="S342" s="32">
        <f t="shared" ref="S342:S349" si="69">J342</f>
        <v>82611</v>
      </c>
      <c r="T342" s="3">
        <f t="shared" si="67"/>
        <v>0</v>
      </c>
      <c r="U342" s="1" t="s">
        <v>3615</v>
      </c>
      <c r="V342" s="16">
        <v>1</v>
      </c>
      <c r="W342" s="28">
        <f t="shared" si="64"/>
        <v>1</v>
      </c>
      <c r="X342" s="27">
        <f t="shared" si="68"/>
        <v>1</v>
      </c>
      <c r="Y342" s="18"/>
      <c r="Z342" s="19"/>
    </row>
    <row r="343" spans="1:26" x14ac:dyDescent="0.35">
      <c r="A343" s="29">
        <v>1</v>
      </c>
      <c r="B343" s="1" t="s">
        <v>3620</v>
      </c>
      <c r="C343" s="1"/>
      <c r="D343" s="1" t="s">
        <v>1473</v>
      </c>
      <c r="E343" s="1" t="s">
        <v>1474</v>
      </c>
      <c r="F343" s="1" t="s">
        <v>1475</v>
      </c>
      <c r="G343" s="5" t="s">
        <v>1476</v>
      </c>
      <c r="H343" s="1" t="s">
        <v>17</v>
      </c>
      <c r="I343" s="2">
        <v>46086</v>
      </c>
      <c r="J343" s="33">
        <f t="shared" si="65"/>
        <v>174403</v>
      </c>
      <c r="K343" s="3">
        <v>27970</v>
      </c>
      <c r="L343" s="3">
        <v>131544</v>
      </c>
      <c r="M343" s="3">
        <v>13889</v>
      </c>
      <c r="N343" s="3">
        <v>0</v>
      </c>
      <c r="O343" s="3">
        <v>1000</v>
      </c>
      <c r="P343" s="1" t="s">
        <v>1477</v>
      </c>
      <c r="Q343" s="3">
        <v>355943</v>
      </c>
      <c r="R343" s="25">
        <f t="shared" si="66"/>
        <v>2.0409224611961951</v>
      </c>
      <c r="S343" s="32">
        <f t="shared" si="69"/>
        <v>174403</v>
      </c>
      <c r="T343" s="3">
        <f t="shared" si="67"/>
        <v>0</v>
      </c>
      <c r="U343" s="1" t="s">
        <v>3615</v>
      </c>
      <c r="V343" s="16">
        <v>1</v>
      </c>
      <c r="W343" s="28">
        <f t="shared" si="64"/>
        <v>1</v>
      </c>
      <c r="X343" s="27">
        <f t="shared" si="68"/>
        <v>1</v>
      </c>
      <c r="Y343" s="18"/>
      <c r="Z343" s="19"/>
    </row>
    <row r="344" spans="1:26" x14ac:dyDescent="0.35">
      <c r="A344" s="29">
        <v>1</v>
      </c>
      <c r="B344" s="1" t="s">
        <v>3620</v>
      </c>
      <c r="C344" s="1"/>
      <c r="D344" s="1" t="s">
        <v>1530</v>
      </c>
      <c r="E344" s="1" t="s">
        <v>1531</v>
      </c>
      <c r="F344" s="1" t="s">
        <v>1532</v>
      </c>
      <c r="G344" s="5" t="s">
        <v>1533</v>
      </c>
      <c r="H344" s="1" t="s">
        <v>17</v>
      </c>
      <c r="I344" s="2">
        <v>46086</v>
      </c>
      <c r="J344" s="33">
        <f t="shared" si="65"/>
        <v>123417</v>
      </c>
      <c r="K344" s="3">
        <v>22192</v>
      </c>
      <c r="L344" s="3">
        <v>90225</v>
      </c>
      <c r="M344" s="3">
        <v>10000</v>
      </c>
      <c r="N344" s="3">
        <v>0</v>
      </c>
      <c r="O344" s="3">
        <v>1000</v>
      </c>
      <c r="P344" s="1" t="s">
        <v>1534</v>
      </c>
      <c r="Q344" s="3">
        <v>159210</v>
      </c>
      <c r="R344" s="25">
        <f t="shared" si="66"/>
        <v>1.2900167724057463</v>
      </c>
      <c r="S344" s="32">
        <f t="shared" si="69"/>
        <v>123417</v>
      </c>
      <c r="T344" s="3">
        <f t="shared" si="67"/>
        <v>0</v>
      </c>
      <c r="U344" s="1" t="s">
        <v>3615</v>
      </c>
      <c r="V344" s="16">
        <v>1</v>
      </c>
      <c r="W344" s="28">
        <f t="shared" si="64"/>
        <v>1</v>
      </c>
      <c r="X344" s="27">
        <f t="shared" si="68"/>
        <v>1</v>
      </c>
      <c r="Y344" s="18"/>
      <c r="Z344" s="19"/>
    </row>
    <row r="345" spans="1:26" x14ac:dyDescent="0.35">
      <c r="A345" s="29">
        <v>1</v>
      </c>
      <c r="B345" s="1" t="s">
        <v>3620</v>
      </c>
      <c r="C345" s="1"/>
      <c r="D345" s="1" t="s">
        <v>1739</v>
      </c>
      <c r="E345" s="1" t="s">
        <v>1740</v>
      </c>
      <c r="F345" s="1" t="s">
        <v>1741</v>
      </c>
      <c r="G345" s="5" t="s">
        <v>1742</v>
      </c>
      <c r="H345" s="1" t="s">
        <v>17</v>
      </c>
      <c r="I345" s="2">
        <v>46086</v>
      </c>
      <c r="J345" s="33">
        <f t="shared" si="65"/>
        <v>41005</v>
      </c>
      <c r="K345" s="3">
        <v>5148</v>
      </c>
      <c r="L345" s="3">
        <v>31524</v>
      </c>
      <c r="M345" s="3">
        <v>3333</v>
      </c>
      <c r="N345" s="3">
        <v>0</v>
      </c>
      <c r="O345" s="3">
        <v>1000</v>
      </c>
      <c r="P345" s="1" t="s">
        <v>1743</v>
      </c>
      <c r="Q345" s="3">
        <v>89534</v>
      </c>
      <c r="R345" s="25">
        <f t="shared" si="66"/>
        <v>2.1834898183148397</v>
      </c>
      <c r="S345" s="32">
        <f t="shared" si="69"/>
        <v>41005</v>
      </c>
      <c r="T345" s="3">
        <f t="shared" si="67"/>
        <v>0</v>
      </c>
      <c r="U345" s="1" t="s">
        <v>3615</v>
      </c>
      <c r="V345" s="16">
        <v>1</v>
      </c>
      <c r="W345" s="28">
        <f t="shared" si="64"/>
        <v>1</v>
      </c>
      <c r="X345" s="27">
        <f t="shared" si="68"/>
        <v>1</v>
      </c>
      <c r="Y345" s="18"/>
      <c r="Z345" s="19"/>
    </row>
    <row r="346" spans="1:26" x14ac:dyDescent="0.35">
      <c r="A346" s="29">
        <v>1</v>
      </c>
      <c r="B346" s="1" t="s">
        <v>3620</v>
      </c>
      <c r="C346" s="1"/>
      <c r="D346" s="1" t="s">
        <v>1761</v>
      </c>
      <c r="E346" s="1" t="s">
        <v>1762</v>
      </c>
      <c r="F346" s="1" t="s">
        <v>1763</v>
      </c>
      <c r="G346" s="5" t="s">
        <v>1764</v>
      </c>
      <c r="H346" s="1" t="s">
        <v>17</v>
      </c>
      <c r="I346" s="2">
        <v>46086</v>
      </c>
      <c r="J346" s="33">
        <f t="shared" si="65"/>
        <v>81011</v>
      </c>
      <c r="K346" s="3">
        <v>10295</v>
      </c>
      <c r="L346" s="3">
        <v>63049</v>
      </c>
      <c r="M346" s="3">
        <v>6667</v>
      </c>
      <c r="N346" s="3">
        <v>0</v>
      </c>
      <c r="O346" s="3">
        <v>1000</v>
      </c>
      <c r="P346" s="1" t="s">
        <v>1765</v>
      </c>
      <c r="Q346" s="3">
        <v>284276</v>
      </c>
      <c r="R346" s="25">
        <f t="shared" si="66"/>
        <v>3.5091037019663998</v>
      </c>
      <c r="S346" s="32">
        <f t="shared" si="69"/>
        <v>81011</v>
      </c>
      <c r="T346" s="3">
        <f t="shared" si="67"/>
        <v>0</v>
      </c>
      <c r="U346" s="1" t="s">
        <v>3615</v>
      </c>
      <c r="V346" s="16">
        <v>1</v>
      </c>
      <c r="W346" s="28">
        <f t="shared" si="64"/>
        <v>1</v>
      </c>
      <c r="X346" s="27">
        <f t="shared" si="68"/>
        <v>1</v>
      </c>
      <c r="Y346" s="18"/>
      <c r="Z346" s="19"/>
    </row>
    <row r="347" spans="1:26" x14ac:dyDescent="0.35">
      <c r="A347" s="29">
        <v>1</v>
      </c>
      <c r="B347" s="1" t="s">
        <v>3620</v>
      </c>
      <c r="C347" s="1"/>
      <c r="D347" s="1" t="s">
        <v>1571</v>
      </c>
      <c r="E347" s="1" t="s">
        <v>1572</v>
      </c>
      <c r="F347" s="1" t="s">
        <v>1573</v>
      </c>
      <c r="G347" s="5" t="s">
        <v>1574</v>
      </c>
      <c r="H347" s="1" t="s">
        <v>17</v>
      </c>
      <c r="I347" s="2">
        <v>46086</v>
      </c>
      <c r="J347" s="33">
        <f t="shared" si="65"/>
        <v>100849</v>
      </c>
      <c r="K347" s="3">
        <v>8840</v>
      </c>
      <c r="L347" s="3">
        <v>83317</v>
      </c>
      <c r="M347" s="3">
        <v>7692</v>
      </c>
      <c r="N347" s="3">
        <v>0</v>
      </c>
      <c r="O347" s="3">
        <v>1000</v>
      </c>
      <c r="P347" s="1" t="s">
        <v>1575</v>
      </c>
      <c r="Q347" s="3">
        <v>191186</v>
      </c>
      <c r="R347" s="25">
        <f t="shared" si="66"/>
        <v>1.8957649555275708</v>
      </c>
      <c r="S347" s="32">
        <f t="shared" si="69"/>
        <v>100849</v>
      </c>
      <c r="T347" s="3">
        <f t="shared" si="67"/>
        <v>0</v>
      </c>
      <c r="U347" s="1" t="s">
        <v>3615</v>
      </c>
      <c r="V347" s="16">
        <v>1</v>
      </c>
      <c r="W347" s="28">
        <f t="shared" si="64"/>
        <v>1</v>
      </c>
      <c r="X347" s="27">
        <f t="shared" si="68"/>
        <v>1</v>
      </c>
      <c r="Y347" s="18"/>
      <c r="Z347" s="19"/>
    </row>
    <row r="348" spans="1:26" x14ac:dyDescent="0.35">
      <c r="A348" s="29">
        <v>1</v>
      </c>
      <c r="B348" s="1" t="s">
        <v>3620</v>
      </c>
      <c r="C348" s="1"/>
      <c r="D348" s="1" t="s">
        <v>1403</v>
      </c>
      <c r="E348" s="1" t="s">
        <v>1404</v>
      </c>
      <c r="F348" s="1" t="s">
        <v>1405</v>
      </c>
      <c r="G348" s="5" t="s">
        <v>1406</v>
      </c>
      <c r="H348" s="1" t="s">
        <v>17</v>
      </c>
      <c r="I348" s="2">
        <v>46086</v>
      </c>
      <c r="J348" s="33">
        <f t="shared" si="65"/>
        <v>50686</v>
      </c>
      <c r="K348" s="3">
        <v>4179</v>
      </c>
      <c r="L348" s="3">
        <v>41661</v>
      </c>
      <c r="M348" s="3">
        <v>3846</v>
      </c>
      <c r="N348" s="3">
        <v>0</v>
      </c>
      <c r="O348" s="3">
        <v>1000</v>
      </c>
      <c r="P348" s="1" t="s">
        <v>1407</v>
      </c>
      <c r="Q348" s="3">
        <v>59070</v>
      </c>
      <c r="R348" s="25">
        <f t="shared" si="66"/>
        <v>1.1654105670204791</v>
      </c>
      <c r="S348" s="32">
        <f t="shared" si="69"/>
        <v>50686</v>
      </c>
      <c r="T348" s="3">
        <f t="shared" si="67"/>
        <v>0</v>
      </c>
      <c r="U348" s="1" t="s">
        <v>3615</v>
      </c>
      <c r="V348" s="16">
        <v>1</v>
      </c>
      <c r="W348" s="28">
        <f t="shared" si="64"/>
        <v>1</v>
      </c>
      <c r="X348" s="27">
        <f t="shared" si="68"/>
        <v>1</v>
      </c>
      <c r="Y348" s="18"/>
      <c r="Z348" s="19"/>
    </row>
    <row r="349" spans="1:26" x14ac:dyDescent="0.35">
      <c r="A349" s="29">
        <v>1</v>
      </c>
      <c r="B349" s="1" t="s">
        <v>3620</v>
      </c>
      <c r="C349" s="1"/>
      <c r="D349" s="1" t="s">
        <v>1695</v>
      </c>
      <c r="E349" s="1" t="s">
        <v>1696</v>
      </c>
      <c r="F349" s="1" t="s">
        <v>1697</v>
      </c>
      <c r="G349" s="5" t="s">
        <v>1698</v>
      </c>
      <c r="H349" s="1" t="s">
        <v>17</v>
      </c>
      <c r="I349" s="2">
        <v>46086</v>
      </c>
      <c r="J349" s="33">
        <f t="shared" si="65"/>
        <v>206218</v>
      </c>
      <c r="K349" s="3">
        <v>25368</v>
      </c>
      <c r="L349" s="3">
        <v>163183</v>
      </c>
      <c r="M349" s="3">
        <v>16667</v>
      </c>
      <c r="N349" s="3">
        <v>0</v>
      </c>
      <c r="O349" s="3">
        <v>1000</v>
      </c>
      <c r="P349" s="1" t="s">
        <v>1699</v>
      </c>
      <c r="Q349" s="3">
        <v>353894</v>
      </c>
      <c r="R349" s="25">
        <f t="shared" si="66"/>
        <v>1.7161159549602847</v>
      </c>
      <c r="S349" s="32">
        <f t="shared" si="69"/>
        <v>206218</v>
      </c>
      <c r="T349" s="3">
        <f t="shared" si="67"/>
        <v>0</v>
      </c>
      <c r="U349" s="1" t="s">
        <v>3615</v>
      </c>
      <c r="V349" s="16">
        <v>1</v>
      </c>
      <c r="W349" s="28">
        <f t="shared" si="64"/>
        <v>1</v>
      </c>
      <c r="X349" s="27">
        <f t="shared" si="68"/>
        <v>1</v>
      </c>
      <c r="Y349" s="18"/>
      <c r="Z349" s="19"/>
    </row>
    <row r="350" spans="1:26" x14ac:dyDescent="0.35">
      <c r="A350" s="29">
        <v>1</v>
      </c>
      <c r="B350" s="1" t="s">
        <v>3620</v>
      </c>
      <c r="C350" s="1"/>
      <c r="D350" s="1" t="s">
        <v>1463</v>
      </c>
      <c r="E350" s="1" t="s">
        <v>1464</v>
      </c>
      <c r="F350" s="1" t="s">
        <v>1465</v>
      </c>
      <c r="G350" s="5" t="s">
        <v>1466</v>
      </c>
      <c r="H350" s="1" t="s">
        <v>17</v>
      </c>
      <c r="I350" s="2">
        <v>46086</v>
      </c>
      <c r="J350" s="33">
        <f t="shared" si="65"/>
        <v>51245</v>
      </c>
      <c r="K350" s="3">
        <v>5081</v>
      </c>
      <c r="L350" s="3">
        <v>40997</v>
      </c>
      <c r="M350" s="3">
        <v>4167</v>
      </c>
      <c r="N350" s="3">
        <v>0</v>
      </c>
      <c r="O350" s="3">
        <v>1000</v>
      </c>
      <c r="P350" s="1" t="s">
        <v>1467</v>
      </c>
      <c r="Q350" s="3">
        <v>33395</v>
      </c>
      <c r="R350" s="25">
        <f t="shared" si="66"/>
        <v>0.65167333398380334</v>
      </c>
      <c r="S350" s="32">
        <f>Q350</f>
        <v>33395</v>
      </c>
      <c r="T350" s="31">
        <f t="shared" si="67"/>
        <v>-17850</v>
      </c>
      <c r="U350" s="1" t="s">
        <v>3616</v>
      </c>
      <c r="V350" s="16"/>
      <c r="W350" s="30">
        <f t="shared" si="64"/>
        <v>0</v>
      </c>
      <c r="X350" s="27">
        <f t="shared" si="68"/>
        <v>0.65167333398380334</v>
      </c>
      <c r="Y350" s="18"/>
      <c r="Z350" s="19"/>
    </row>
    <row r="351" spans="1:26" x14ac:dyDescent="0.35">
      <c r="A351" s="29">
        <v>1</v>
      </c>
      <c r="B351" s="1" t="s">
        <v>3620</v>
      </c>
      <c r="C351" s="1"/>
      <c r="D351" s="1" t="s">
        <v>1548</v>
      </c>
      <c r="E351" s="1" t="s">
        <v>1549</v>
      </c>
      <c r="F351" s="1" t="s">
        <v>1550</v>
      </c>
      <c r="G351" s="5" t="s">
        <v>1551</v>
      </c>
      <c r="H351" s="1" t="s">
        <v>17</v>
      </c>
      <c r="I351" s="2">
        <v>46086</v>
      </c>
      <c r="J351" s="33">
        <f t="shared" si="65"/>
        <v>51007</v>
      </c>
      <c r="K351" s="3">
        <v>3658</v>
      </c>
      <c r="L351" s="3">
        <v>42182</v>
      </c>
      <c r="M351" s="3">
        <v>4167</v>
      </c>
      <c r="N351" s="3">
        <v>0</v>
      </c>
      <c r="O351" s="3">
        <v>1000</v>
      </c>
      <c r="P351" s="1" t="s">
        <v>1552</v>
      </c>
      <c r="Q351" s="3">
        <v>154353</v>
      </c>
      <c r="R351" s="25">
        <f t="shared" si="66"/>
        <v>3.0261140627756973</v>
      </c>
      <c r="S351" s="32">
        <f>J351</f>
        <v>51007</v>
      </c>
      <c r="T351" s="3">
        <f t="shared" si="67"/>
        <v>0</v>
      </c>
      <c r="U351" s="1" t="s">
        <v>3615</v>
      </c>
      <c r="V351" s="16">
        <v>1</v>
      </c>
      <c r="W351" s="28">
        <f t="shared" si="64"/>
        <v>1</v>
      </c>
      <c r="X351" s="27">
        <f t="shared" si="68"/>
        <v>1</v>
      </c>
      <c r="Y351" s="18"/>
      <c r="Z351" s="19"/>
    </row>
    <row r="352" spans="1:26" x14ac:dyDescent="0.35">
      <c r="A352" s="29">
        <v>1</v>
      </c>
      <c r="B352" s="1" t="s">
        <v>3620</v>
      </c>
      <c r="C352" s="1"/>
      <c r="D352" s="1" t="s">
        <v>1593</v>
      </c>
      <c r="E352" s="1" t="s">
        <v>1594</v>
      </c>
      <c r="F352" s="1" t="s">
        <v>1595</v>
      </c>
      <c r="G352" s="5" t="s">
        <v>1596</v>
      </c>
      <c r="H352" s="1" t="s">
        <v>17</v>
      </c>
      <c r="I352" s="2">
        <v>46086</v>
      </c>
      <c r="J352" s="33">
        <f t="shared" si="65"/>
        <v>31004</v>
      </c>
      <c r="K352" s="3">
        <v>3869</v>
      </c>
      <c r="L352" s="3">
        <v>23635</v>
      </c>
      <c r="M352" s="3">
        <v>2500</v>
      </c>
      <c r="N352" s="3">
        <v>0</v>
      </c>
      <c r="O352" s="3">
        <v>1000</v>
      </c>
      <c r="P352" s="1" t="s">
        <v>1597</v>
      </c>
      <c r="Q352" s="3">
        <v>101352</v>
      </c>
      <c r="R352" s="25">
        <f t="shared" si="66"/>
        <v>3.2689975487033931</v>
      </c>
      <c r="S352" s="32">
        <f>J352</f>
        <v>31004</v>
      </c>
      <c r="T352" s="3">
        <f t="shared" si="67"/>
        <v>0</v>
      </c>
      <c r="U352" s="1" t="s">
        <v>3615</v>
      </c>
      <c r="V352" s="16">
        <v>1</v>
      </c>
      <c r="W352" s="28">
        <f t="shared" si="64"/>
        <v>1</v>
      </c>
      <c r="X352" s="27">
        <f t="shared" si="68"/>
        <v>1</v>
      </c>
      <c r="Y352" s="18"/>
      <c r="Z352" s="19"/>
    </row>
    <row r="353" spans="1:26" x14ac:dyDescent="0.35">
      <c r="A353" s="29">
        <v>1</v>
      </c>
      <c r="B353" s="1" t="s">
        <v>3620</v>
      </c>
      <c r="C353" s="1"/>
      <c r="D353" s="1" t="s">
        <v>1380</v>
      </c>
      <c r="E353" s="1" t="s">
        <v>1381</v>
      </c>
      <c r="F353" s="1" t="s">
        <v>1382</v>
      </c>
      <c r="G353" s="5" t="s">
        <v>1383</v>
      </c>
      <c r="H353" s="1" t="s">
        <v>32</v>
      </c>
      <c r="I353" s="2">
        <v>46086</v>
      </c>
      <c r="J353" s="33">
        <f t="shared" si="65"/>
        <v>66288</v>
      </c>
      <c r="K353" s="3">
        <v>7005</v>
      </c>
      <c r="L353" s="3">
        <v>52950</v>
      </c>
      <c r="M353" s="3">
        <v>5333</v>
      </c>
      <c r="N353" s="3">
        <v>0</v>
      </c>
      <c r="O353" s="3">
        <v>1000</v>
      </c>
      <c r="P353" s="1" t="s">
        <v>1384</v>
      </c>
      <c r="Q353" s="3">
        <v>263878</v>
      </c>
      <c r="R353" s="25">
        <f t="shared" si="66"/>
        <v>3.9807808351436158</v>
      </c>
      <c r="S353" s="32">
        <f>J353</f>
        <v>66288</v>
      </c>
      <c r="T353" s="3">
        <f t="shared" si="67"/>
        <v>0</v>
      </c>
      <c r="U353" s="1" t="s">
        <v>3615</v>
      </c>
      <c r="V353" s="16">
        <v>1</v>
      </c>
      <c r="W353" s="28">
        <f t="shared" si="64"/>
        <v>1</v>
      </c>
      <c r="X353" s="27">
        <f t="shared" si="68"/>
        <v>1</v>
      </c>
      <c r="Y353" s="18"/>
      <c r="Z353" s="19"/>
    </row>
    <row r="354" spans="1:26" x14ac:dyDescent="0.35">
      <c r="A354" s="29">
        <v>1</v>
      </c>
      <c r="B354" s="1" t="s">
        <v>3620</v>
      </c>
      <c r="C354" s="1"/>
      <c r="D354" s="1" t="s">
        <v>1822</v>
      </c>
      <c r="E354" s="1" t="s">
        <v>1823</v>
      </c>
      <c r="F354" s="1" t="s">
        <v>1824</v>
      </c>
      <c r="G354" s="5" t="s">
        <v>1825</v>
      </c>
      <c r="H354" s="1" t="s">
        <v>17</v>
      </c>
      <c r="I354" s="2">
        <v>46086</v>
      </c>
      <c r="J354" s="33">
        <f t="shared" si="65"/>
        <v>81011</v>
      </c>
      <c r="K354" s="3">
        <v>10333</v>
      </c>
      <c r="L354" s="3">
        <v>63011</v>
      </c>
      <c r="M354" s="3">
        <v>6667</v>
      </c>
      <c r="N354" s="3">
        <v>0</v>
      </c>
      <c r="O354" s="3">
        <v>1000</v>
      </c>
      <c r="P354" s="1" t="s">
        <v>1826</v>
      </c>
      <c r="Q354" s="3">
        <v>117014</v>
      </c>
      <c r="R354" s="25">
        <f t="shared" si="66"/>
        <v>1.4444211279949637</v>
      </c>
      <c r="S354" s="32">
        <f>J354</f>
        <v>81011</v>
      </c>
      <c r="T354" s="3">
        <f t="shared" si="67"/>
        <v>0</v>
      </c>
      <c r="U354" s="1" t="s">
        <v>3615</v>
      </c>
      <c r="V354" s="16">
        <v>1</v>
      </c>
      <c r="W354" s="28">
        <f t="shared" si="64"/>
        <v>1</v>
      </c>
      <c r="X354" s="27">
        <f t="shared" si="68"/>
        <v>1</v>
      </c>
      <c r="Y354" s="18"/>
      <c r="Z354" s="19"/>
    </row>
    <row r="355" spans="1:26" x14ac:dyDescent="0.35">
      <c r="A355" s="29">
        <v>1</v>
      </c>
      <c r="B355" s="1" t="s">
        <v>3620</v>
      </c>
      <c r="C355" s="1"/>
      <c r="D355" s="1" t="s">
        <v>1627</v>
      </c>
      <c r="E355" s="1" t="s">
        <v>1628</v>
      </c>
      <c r="F355" s="1" t="s">
        <v>1629</v>
      </c>
      <c r="G355" s="5" t="s">
        <v>1630</v>
      </c>
      <c r="H355" s="1" t="s">
        <v>1240</v>
      </c>
      <c r="I355" s="2">
        <v>46086</v>
      </c>
      <c r="J355" s="33">
        <f t="shared" si="65"/>
        <v>151020</v>
      </c>
      <c r="K355" s="3">
        <v>10974</v>
      </c>
      <c r="L355" s="3">
        <v>126546</v>
      </c>
      <c r="M355" s="3">
        <v>12500</v>
      </c>
      <c r="N355" s="3">
        <v>0</v>
      </c>
      <c r="O355" s="3">
        <v>1000</v>
      </c>
      <c r="P355" s="1" t="s">
        <v>1631</v>
      </c>
      <c r="Q355" s="3">
        <v>114310</v>
      </c>
      <c r="R355" s="25">
        <f t="shared" si="66"/>
        <v>0.75691961329625213</v>
      </c>
      <c r="S355" s="32">
        <f>Q355</f>
        <v>114310</v>
      </c>
      <c r="T355" s="31">
        <f t="shared" si="67"/>
        <v>-36710</v>
      </c>
      <c r="U355" s="1" t="s">
        <v>3616</v>
      </c>
      <c r="V355" s="16"/>
      <c r="W355" s="30">
        <f t="shared" si="64"/>
        <v>0</v>
      </c>
      <c r="X355" s="27">
        <f t="shared" si="68"/>
        <v>0.75691961329625213</v>
      </c>
      <c r="Y355" s="18"/>
      <c r="Z355" s="19"/>
    </row>
    <row r="356" spans="1:26" x14ac:dyDescent="0.35">
      <c r="A356" s="29">
        <v>1</v>
      </c>
      <c r="B356" s="1" t="s">
        <v>3620</v>
      </c>
      <c r="C356" s="1"/>
      <c r="D356" s="1" t="s">
        <v>1730</v>
      </c>
      <c r="E356" s="1" t="s">
        <v>1731</v>
      </c>
      <c r="F356" s="1" t="s">
        <v>1732</v>
      </c>
      <c r="G356" s="5" t="s">
        <v>1733</v>
      </c>
      <c r="H356" s="1" t="s">
        <v>17</v>
      </c>
      <c r="I356" s="2">
        <v>46086</v>
      </c>
      <c r="J356" s="33">
        <f t="shared" si="65"/>
        <v>51007</v>
      </c>
      <c r="K356" s="3">
        <v>6458</v>
      </c>
      <c r="L356" s="3">
        <v>39382</v>
      </c>
      <c r="M356" s="3">
        <v>4167</v>
      </c>
      <c r="N356" s="3">
        <v>0</v>
      </c>
      <c r="O356" s="3">
        <v>1000</v>
      </c>
      <c r="P356" s="1" t="s">
        <v>1734</v>
      </c>
      <c r="Q356" s="3">
        <v>170493</v>
      </c>
      <c r="R356" s="25">
        <f t="shared" si="66"/>
        <v>3.3425412198325719</v>
      </c>
      <c r="S356" s="32">
        <f>J356</f>
        <v>51007</v>
      </c>
      <c r="T356" s="3">
        <f t="shared" si="67"/>
        <v>0</v>
      </c>
      <c r="U356" s="1" t="s">
        <v>3615</v>
      </c>
      <c r="V356" s="16">
        <v>1</v>
      </c>
      <c r="W356" s="28">
        <f t="shared" si="64"/>
        <v>1</v>
      </c>
      <c r="X356" s="27">
        <f t="shared" si="68"/>
        <v>1</v>
      </c>
      <c r="Y356" s="18"/>
      <c r="Z356" s="19"/>
    </row>
    <row r="357" spans="1:26" x14ac:dyDescent="0.35">
      <c r="A357" s="29">
        <v>1</v>
      </c>
      <c r="B357" s="1" t="s">
        <v>3620</v>
      </c>
      <c r="C357" s="1"/>
      <c r="D357" s="1" t="s">
        <v>1502</v>
      </c>
      <c r="E357" s="1" t="s">
        <v>1503</v>
      </c>
      <c r="F357" s="1" t="s">
        <v>1504</v>
      </c>
      <c r="G357" s="5" t="s">
        <v>1505</v>
      </c>
      <c r="H357" s="1" t="s">
        <v>624</v>
      </c>
      <c r="I357" s="2">
        <v>46086</v>
      </c>
      <c r="J357" s="33">
        <f t="shared" si="65"/>
        <v>51245</v>
      </c>
      <c r="K357" s="3">
        <v>5050</v>
      </c>
      <c r="L357" s="3">
        <v>41028</v>
      </c>
      <c r="M357" s="3">
        <v>4167</v>
      </c>
      <c r="N357" s="3">
        <v>0</v>
      </c>
      <c r="O357" s="3">
        <v>1000</v>
      </c>
      <c r="P357" s="1" t="s">
        <v>1506</v>
      </c>
      <c r="Q357" s="3">
        <v>78209</v>
      </c>
      <c r="R357" s="25">
        <f t="shared" si="66"/>
        <v>1.5261781637232901</v>
      </c>
      <c r="S357" s="32">
        <f>J357</f>
        <v>51245</v>
      </c>
      <c r="T357" s="3">
        <f t="shared" si="67"/>
        <v>0</v>
      </c>
      <c r="U357" s="1" t="s">
        <v>3615</v>
      </c>
      <c r="V357" s="16">
        <v>1</v>
      </c>
      <c r="W357" s="28">
        <f t="shared" si="64"/>
        <v>1</v>
      </c>
      <c r="X357" s="27">
        <f t="shared" si="68"/>
        <v>1</v>
      </c>
      <c r="Y357" s="18"/>
      <c r="Z357" s="19"/>
    </row>
    <row r="358" spans="1:26" x14ac:dyDescent="0.35">
      <c r="A358" s="29">
        <v>1</v>
      </c>
      <c r="B358" s="1" t="s">
        <v>3620</v>
      </c>
      <c r="C358" s="1"/>
      <c r="D358" s="1" t="s">
        <v>1613</v>
      </c>
      <c r="E358" s="1" t="s">
        <v>1614</v>
      </c>
      <c r="F358" s="1" t="s">
        <v>1615</v>
      </c>
      <c r="G358" s="5" t="s">
        <v>1616</v>
      </c>
      <c r="H358" s="1" t="s">
        <v>17</v>
      </c>
      <c r="I358" s="2">
        <v>46086</v>
      </c>
      <c r="J358" s="33">
        <f t="shared" si="65"/>
        <v>175598</v>
      </c>
      <c r="K358" s="3">
        <v>35006</v>
      </c>
      <c r="L358" s="3">
        <v>125703</v>
      </c>
      <c r="M358" s="3">
        <v>13889</v>
      </c>
      <c r="N358" s="3">
        <v>0</v>
      </c>
      <c r="O358" s="3">
        <v>1000</v>
      </c>
      <c r="P358" s="1" t="s">
        <v>1617</v>
      </c>
      <c r="Q358" s="3">
        <v>646435</v>
      </c>
      <c r="R358" s="25">
        <f t="shared" si="66"/>
        <v>3.6813346393466895</v>
      </c>
      <c r="S358" s="32">
        <f>J358</f>
        <v>175598</v>
      </c>
      <c r="T358" s="3">
        <f t="shared" si="67"/>
        <v>0</v>
      </c>
      <c r="U358" s="1" t="s">
        <v>3615</v>
      </c>
      <c r="V358" s="16">
        <v>1</v>
      </c>
      <c r="W358" s="28">
        <f t="shared" si="64"/>
        <v>1</v>
      </c>
      <c r="X358" s="27">
        <f t="shared" si="68"/>
        <v>1</v>
      </c>
      <c r="Y358" s="18"/>
      <c r="Z358" s="19"/>
    </row>
    <row r="359" spans="1:26" x14ac:dyDescent="0.35">
      <c r="A359" s="29">
        <v>1</v>
      </c>
      <c r="B359" s="1" t="s">
        <v>3620</v>
      </c>
      <c r="C359" s="1"/>
      <c r="D359" s="1" t="s">
        <v>1483</v>
      </c>
      <c r="E359" s="1" t="s">
        <v>1484</v>
      </c>
      <c r="F359" s="1" t="s">
        <v>1485</v>
      </c>
      <c r="G359" s="5" t="s">
        <v>1486</v>
      </c>
      <c r="H359" s="1" t="s">
        <v>17</v>
      </c>
      <c r="I359" s="2">
        <v>46086</v>
      </c>
      <c r="J359" s="33">
        <f t="shared" si="65"/>
        <v>101013</v>
      </c>
      <c r="K359" s="3">
        <v>9570</v>
      </c>
      <c r="L359" s="3">
        <v>82110</v>
      </c>
      <c r="M359" s="3">
        <v>8333</v>
      </c>
      <c r="N359" s="3">
        <v>0</v>
      </c>
      <c r="O359" s="3">
        <v>1000</v>
      </c>
      <c r="P359" s="1" t="s">
        <v>1487</v>
      </c>
      <c r="Q359" s="3">
        <v>231200</v>
      </c>
      <c r="R359" s="25">
        <f t="shared" si="66"/>
        <v>2.2888143110292734</v>
      </c>
      <c r="S359" s="32">
        <f>J359</f>
        <v>101013</v>
      </c>
      <c r="T359" s="3">
        <f t="shared" si="67"/>
        <v>0</v>
      </c>
      <c r="U359" s="1" t="s">
        <v>3615</v>
      </c>
      <c r="V359" s="16">
        <v>1</v>
      </c>
      <c r="W359" s="28">
        <f t="shared" si="64"/>
        <v>1</v>
      </c>
      <c r="X359" s="27">
        <f t="shared" si="68"/>
        <v>1</v>
      </c>
      <c r="Y359" s="18"/>
      <c r="Z359" s="19"/>
    </row>
    <row r="360" spans="1:26" x14ac:dyDescent="0.35">
      <c r="A360" s="29">
        <v>1</v>
      </c>
      <c r="B360" s="1" t="s">
        <v>3620</v>
      </c>
      <c r="C360" s="1"/>
      <c r="D360" s="1" t="s">
        <v>1866</v>
      </c>
      <c r="E360" s="1" t="s">
        <v>1867</v>
      </c>
      <c r="F360" s="1" t="s">
        <v>1868</v>
      </c>
      <c r="G360" s="5" t="s">
        <v>1869</v>
      </c>
      <c r="H360" s="1" t="s">
        <v>17</v>
      </c>
      <c r="I360" s="2">
        <v>46086</v>
      </c>
      <c r="J360" s="33">
        <f t="shared" si="65"/>
        <v>83087</v>
      </c>
      <c r="K360" s="3">
        <v>15616</v>
      </c>
      <c r="L360" s="3">
        <v>59804</v>
      </c>
      <c r="M360" s="3">
        <v>6667</v>
      </c>
      <c r="N360" s="3">
        <v>0</v>
      </c>
      <c r="O360" s="3">
        <v>1000</v>
      </c>
      <c r="P360" s="1" t="s">
        <v>1870</v>
      </c>
      <c r="Q360" s="3">
        <v>29820</v>
      </c>
      <c r="R360" s="25">
        <f t="shared" si="66"/>
        <v>0.3589009110931915</v>
      </c>
      <c r="S360" s="32">
        <f>Q360</f>
        <v>29820</v>
      </c>
      <c r="T360" s="31">
        <f t="shared" si="67"/>
        <v>-53267</v>
      </c>
      <c r="U360" s="1" t="s">
        <v>3616</v>
      </c>
      <c r="V360" s="16"/>
      <c r="W360" s="30">
        <f t="shared" si="64"/>
        <v>0</v>
      </c>
      <c r="X360" s="27">
        <f t="shared" si="68"/>
        <v>0.3589009110931915</v>
      </c>
      <c r="Y360" s="18"/>
      <c r="Z360" s="19"/>
    </row>
    <row r="361" spans="1:26" x14ac:dyDescent="0.35">
      <c r="A361" s="29">
        <v>1</v>
      </c>
      <c r="B361" s="1" t="s">
        <v>3620</v>
      </c>
      <c r="C361" s="1"/>
      <c r="D361" s="1" t="s">
        <v>1539</v>
      </c>
      <c r="E361" s="1" t="s">
        <v>1540</v>
      </c>
      <c r="F361" s="1" t="s">
        <v>1541</v>
      </c>
      <c r="G361" s="5" t="s">
        <v>1542</v>
      </c>
      <c r="H361" s="1" t="s">
        <v>17</v>
      </c>
      <c r="I361" s="2">
        <v>46086</v>
      </c>
      <c r="J361" s="33">
        <f t="shared" si="65"/>
        <v>81011</v>
      </c>
      <c r="K361" s="3">
        <v>5853</v>
      </c>
      <c r="L361" s="3">
        <v>67491</v>
      </c>
      <c r="M361" s="3">
        <v>6667</v>
      </c>
      <c r="N361" s="3">
        <v>0</v>
      </c>
      <c r="O361" s="3">
        <v>1000</v>
      </c>
      <c r="P361" s="1" t="s">
        <v>1543</v>
      </c>
      <c r="Q361" s="3">
        <v>169052</v>
      </c>
      <c r="R361" s="25">
        <f t="shared" si="66"/>
        <v>2.086778338744121</v>
      </c>
      <c r="S361" s="32">
        <f>J361</f>
        <v>81011</v>
      </c>
      <c r="T361" s="3">
        <f t="shared" si="67"/>
        <v>0</v>
      </c>
      <c r="U361" s="1" t="s">
        <v>3615</v>
      </c>
      <c r="V361" s="16">
        <v>1</v>
      </c>
      <c r="W361" s="28">
        <f t="shared" si="64"/>
        <v>1</v>
      </c>
      <c r="X361" s="27">
        <f t="shared" si="68"/>
        <v>1</v>
      </c>
      <c r="Y361" s="18"/>
      <c r="Z361" s="19"/>
    </row>
    <row r="362" spans="1:26" x14ac:dyDescent="0.35">
      <c r="A362" s="29">
        <v>1</v>
      </c>
      <c r="B362" s="1" t="s">
        <v>3620</v>
      </c>
      <c r="C362" s="1"/>
      <c r="D362" s="1" t="s">
        <v>1497</v>
      </c>
      <c r="E362" s="1" t="s">
        <v>1498</v>
      </c>
      <c r="F362" s="1" t="s">
        <v>1499</v>
      </c>
      <c r="G362" s="5" t="s">
        <v>1500</v>
      </c>
      <c r="H362" s="1" t="s">
        <v>17</v>
      </c>
      <c r="I362" s="2">
        <v>46086</v>
      </c>
      <c r="J362" s="33">
        <f t="shared" si="65"/>
        <v>139723</v>
      </c>
      <c r="K362" s="3">
        <v>22248</v>
      </c>
      <c r="L362" s="3">
        <v>105364</v>
      </c>
      <c r="M362" s="3">
        <v>11111</v>
      </c>
      <c r="N362" s="3">
        <v>0</v>
      </c>
      <c r="O362" s="3">
        <v>1000</v>
      </c>
      <c r="P362" s="1" t="s">
        <v>1501</v>
      </c>
      <c r="Q362" s="3">
        <v>103902</v>
      </c>
      <c r="R362" s="25">
        <f t="shared" si="66"/>
        <v>0.74362846489124912</v>
      </c>
      <c r="S362" s="32">
        <f>Q362</f>
        <v>103902</v>
      </c>
      <c r="T362" s="31">
        <f t="shared" si="67"/>
        <v>-35821</v>
      </c>
      <c r="U362" s="1" t="s">
        <v>3616</v>
      </c>
      <c r="V362" s="16"/>
      <c r="W362" s="30">
        <f t="shared" si="64"/>
        <v>0</v>
      </c>
      <c r="X362" s="27">
        <f t="shared" si="68"/>
        <v>0.74362846489124912</v>
      </c>
      <c r="Y362" s="18"/>
      <c r="Z362" s="19"/>
    </row>
    <row r="363" spans="1:26" x14ac:dyDescent="0.35">
      <c r="A363" s="29">
        <v>1</v>
      </c>
      <c r="B363" s="1" t="s">
        <v>3620</v>
      </c>
      <c r="C363" s="1"/>
      <c r="D363" s="1" t="s">
        <v>1646</v>
      </c>
      <c r="E363" s="1" t="s">
        <v>1647</v>
      </c>
      <c r="F363" s="1" t="s">
        <v>1648</v>
      </c>
      <c r="G363" s="5" t="s">
        <v>1649</v>
      </c>
      <c r="H363" s="1" t="s">
        <v>32</v>
      </c>
      <c r="I363" s="2">
        <v>46086</v>
      </c>
      <c r="J363" s="33">
        <f t="shared" si="65"/>
        <v>51245</v>
      </c>
      <c r="K363" s="3">
        <v>3865</v>
      </c>
      <c r="L363" s="3">
        <v>42213</v>
      </c>
      <c r="M363" s="3">
        <v>4167</v>
      </c>
      <c r="N363" s="3">
        <v>0</v>
      </c>
      <c r="O363" s="3">
        <v>1000</v>
      </c>
      <c r="P363" s="1" t="s">
        <v>1650</v>
      </c>
      <c r="Q363" s="3">
        <v>269585</v>
      </c>
      <c r="R363" s="25">
        <f t="shared" si="66"/>
        <v>5.2607083617913943</v>
      </c>
      <c r="S363" s="32">
        <f>J363</f>
        <v>51245</v>
      </c>
      <c r="T363" s="3">
        <f t="shared" si="67"/>
        <v>0</v>
      </c>
      <c r="U363" s="1" t="s">
        <v>3615</v>
      </c>
      <c r="V363" s="16">
        <v>1</v>
      </c>
      <c r="W363" s="28">
        <f t="shared" si="64"/>
        <v>1</v>
      </c>
      <c r="X363" s="27">
        <f t="shared" si="68"/>
        <v>1</v>
      </c>
      <c r="Y363" s="18"/>
      <c r="Z363" s="19"/>
    </row>
    <row r="364" spans="1:26" x14ac:dyDescent="0.35">
      <c r="A364" s="29">
        <v>1</v>
      </c>
      <c r="B364" s="1" t="s">
        <v>3620</v>
      </c>
      <c r="C364" s="1"/>
      <c r="D364" s="1" t="s">
        <v>1622</v>
      </c>
      <c r="E364" s="1" t="s">
        <v>1623</v>
      </c>
      <c r="F364" s="1" t="s">
        <v>1624</v>
      </c>
      <c r="G364" s="5" t="s">
        <v>1625</v>
      </c>
      <c r="H364" s="1" t="s">
        <v>17</v>
      </c>
      <c r="I364" s="2">
        <v>46086</v>
      </c>
      <c r="J364" s="33">
        <f t="shared" si="65"/>
        <v>151020</v>
      </c>
      <c r="K364" s="3">
        <v>10974</v>
      </c>
      <c r="L364" s="3">
        <v>126546</v>
      </c>
      <c r="M364" s="3">
        <v>12500</v>
      </c>
      <c r="N364" s="3">
        <v>0</v>
      </c>
      <c r="O364" s="3">
        <v>1000</v>
      </c>
      <c r="P364" s="1" t="s">
        <v>1626</v>
      </c>
      <c r="Q364" s="3">
        <v>33526</v>
      </c>
      <c r="R364" s="25">
        <f t="shared" si="66"/>
        <v>0.2219970864786121</v>
      </c>
      <c r="S364" s="32">
        <f>Q364</f>
        <v>33526</v>
      </c>
      <c r="T364" s="31">
        <f t="shared" si="67"/>
        <v>-117494</v>
      </c>
      <c r="U364" s="1" t="s">
        <v>3616</v>
      </c>
      <c r="V364" s="16"/>
      <c r="W364" s="30">
        <f t="shared" si="64"/>
        <v>0</v>
      </c>
      <c r="X364" s="27">
        <f t="shared" si="68"/>
        <v>0.2219970864786121</v>
      </c>
      <c r="Y364" s="18"/>
      <c r="Z364" s="19"/>
    </row>
    <row r="365" spans="1:26" x14ac:dyDescent="0.35">
      <c r="A365" s="29">
        <v>1</v>
      </c>
      <c r="B365" s="1" t="s">
        <v>3620</v>
      </c>
      <c r="C365" s="1"/>
      <c r="D365" s="1" t="s">
        <v>1454</v>
      </c>
      <c r="E365" s="1" t="s">
        <v>1455</v>
      </c>
      <c r="F365" s="1" t="s">
        <v>1456</v>
      </c>
      <c r="G365" s="5" t="s">
        <v>1457</v>
      </c>
      <c r="H365" s="1" t="s">
        <v>17</v>
      </c>
      <c r="I365" s="2">
        <v>46086</v>
      </c>
      <c r="J365" s="33">
        <f t="shared" si="65"/>
        <v>51007</v>
      </c>
      <c r="K365" s="3">
        <v>4182</v>
      </c>
      <c r="L365" s="3">
        <v>41658</v>
      </c>
      <c r="M365" s="3">
        <v>4167</v>
      </c>
      <c r="N365" s="3">
        <v>0</v>
      </c>
      <c r="O365" s="3">
        <v>1000</v>
      </c>
      <c r="P365" s="1" t="s">
        <v>1458</v>
      </c>
      <c r="Q365" s="3">
        <v>81353</v>
      </c>
      <c r="R365" s="25">
        <f t="shared" si="66"/>
        <v>1.5949379496931793</v>
      </c>
      <c r="S365" s="32">
        <f t="shared" ref="S365:S373" si="70">J365</f>
        <v>51007</v>
      </c>
      <c r="T365" s="3">
        <f t="shared" si="67"/>
        <v>0</v>
      </c>
      <c r="U365" s="1" t="s">
        <v>3615</v>
      </c>
      <c r="V365" s="16">
        <v>1</v>
      </c>
      <c r="W365" s="28">
        <f t="shared" si="64"/>
        <v>1</v>
      </c>
      <c r="X365" s="27">
        <f t="shared" si="68"/>
        <v>1</v>
      </c>
      <c r="Y365" s="18"/>
      <c r="Z365" s="19"/>
    </row>
    <row r="366" spans="1:26" x14ac:dyDescent="0.35">
      <c r="A366" s="29">
        <v>1</v>
      </c>
      <c r="B366" s="1" t="s">
        <v>3620</v>
      </c>
      <c r="C366" s="1"/>
      <c r="D366" s="1" t="s">
        <v>1603</v>
      </c>
      <c r="E366" s="1" t="s">
        <v>1604</v>
      </c>
      <c r="F366" s="1" t="s">
        <v>1605</v>
      </c>
      <c r="G366" s="5" t="s">
        <v>1606</v>
      </c>
      <c r="H366" s="1" t="s">
        <v>17</v>
      </c>
      <c r="I366" s="2">
        <v>46086</v>
      </c>
      <c r="J366" s="33">
        <f t="shared" si="65"/>
        <v>209084</v>
      </c>
      <c r="K366" s="3">
        <v>39762</v>
      </c>
      <c r="L366" s="3">
        <v>151655</v>
      </c>
      <c r="M366" s="3">
        <v>16667</v>
      </c>
      <c r="N366" s="3">
        <v>0</v>
      </c>
      <c r="O366" s="3">
        <v>1000</v>
      </c>
      <c r="P366" s="1" t="s">
        <v>1607</v>
      </c>
      <c r="Q366" s="3">
        <v>1096351</v>
      </c>
      <c r="R366" s="25">
        <f t="shared" si="66"/>
        <v>5.2435910925752331</v>
      </c>
      <c r="S366" s="32">
        <f t="shared" si="70"/>
        <v>209084</v>
      </c>
      <c r="T366" s="3">
        <f t="shared" si="67"/>
        <v>0</v>
      </c>
      <c r="U366" s="1" t="s">
        <v>3615</v>
      </c>
      <c r="V366" s="16">
        <v>1</v>
      </c>
      <c r="W366" s="28">
        <f t="shared" si="64"/>
        <v>1</v>
      </c>
      <c r="X366" s="27">
        <f t="shared" si="68"/>
        <v>1</v>
      </c>
      <c r="Y366" s="18"/>
      <c r="Z366" s="19"/>
    </row>
    <row r="367" spans="1:26" x14ac:dyDescent="0.35">
      <c r="A367" s="29">
        <v>1</v>
      </c>
      <c r="B367" s="1" t="s">
        <v>3620</v>
      </c>
      <c r="C367" s="1"/>
      <c r="D367" s="1" t="s">
        <v>1636</v>
      </c>
      <c r="E367" s="1" t="s">
        <v>1637</v>
      </c>
      <c r="F367" s="1" t="s">
        <v>1638</v>
      </c>
      <c r="G367" s="5" t="s">
        <v>1639</v>
      </c>
      <c r="H367" s="1" t="s">
        <v>17</v>
      </c>
      <c r="I367" s="2">
        <v>46086</v>
      </c>
      <c r="J367" s="33">
        <f t="shared" si="65"/>
        <v>51245</v>
      </c>
      <c r="K367" s="3">
        <v>3853</v>
      </c>
      <c r="L367" s="3">
        <v>42225</v>
      </c>
      <c r="M367" s="3">
        <v>4167</v>
      </c>
      <c r="N367" s="3">
        <v>0</v>
      </c>
      <c r="O367" s="3">
        <v>1000</v>
      </c>
      <c r="P367" s="1" t="s">
        <v>1640</v>
      </c>
      <c r="Q367" s="3">
        <v>313919</v>
      </c>
      <c r="R367" s="25">
        <f t="shared" si="66"/>
        <v>6.1258464240413701</v>
      </c>
      <c r="S367" s="32">
        <f t="shared" si="70"/>
        <v>51245</v>
      </c>
      <c r="T367" s="3">
        <f t="shared" si="67"/>
        <v>0</v>
      </c>
      <c r="U367" s="1" t="s">
        <v>3615</v>
      </c>
      <c r="V367" s="16">
        <v>1</v>
      </c>
      <c r="W367" s="28">
        <f t="shared" si="64"/>
        <v>1</v>
      </c>
      <c r="X367" s="27">
        <f t="shared" si="68"/>
        <v>1</v>
      </c>
      <c r="Y367" s="18"/>
      <c r="Z367" s="19"/>
    </row>
    <row r="368" spans="1:26" x14ac:dyDescent="0.35">
      <c r="A368" s="29">
        <v>1</v>
      </c>
      <c r="B368" s="1" t="s">
        <v>3620</v>
      </c>
      <c r="C368" s="1"/>
      <c r="D368" s="1" t="s">
        <v>1667</v>
      </c>
      <c r="E368" s="1" t="s">
        <v>1668</v>
      </c>
      <c r="F368" s="1" t="s">
        <v>1669</v>
      </c>
      <c r="G368" s="5" t="s">
        <v>1670</v>
      </c>
      <c r="H368" s="1" t="s">
        <v>17</v>
      </c>
      <c r="I368" s="2">
        <v>46086</v>
      </c>
      <c r="J368" s="33">
        <f t="shared" si="65"/>
        <v>71009</v>
      </c>
      <c r="K368" s="3">
        <v>5931</v>
      </c>
      <c r="L368" s="3">
        <v>58245</v>
      </c>
      <c r="M368" s="3">
        <v>5833</v>
      </c>
      <c r="N368" s="3">
        <v>0</v>
      </c>
      <c r="O368" s="3">
        <v>1000</v>
      </c>
      <c r="P368" s="1" t="s">
        <v>1671</v>
      </c>
      <c r="Q368" s="3">
        <v>74319</v>
      </c>
      <c r="R368" s="25">
        <f t="shared" si="66"/>
        <v>1.0466138095171034</v>
      </c>
      <c r="S368" s="32">
        <f t="shared" si="70"/>
        <v>71009</v>
      </c>
      <c r="T368" s="3">
        <f t="shared" si="67"/>
        <v>0</v>
      </c>
      <c r="U368" s="1" t="s">
        <v>3615</v>
      </c>
      <c r="V368" s="16">
        <v>1</v>
      </c>
      <c r="W368" s="28">
        <f t="shared" si="64"/>
        <v>1</v>
      </c>
      <c r="X368" s="27">
        <f t="shared" si="68"/>
        <v>1</v>
      </c>
      <c r="Y368" s="18"/>
      <c r="Z368" s="19"/>
    </row>
    <row r="369" spans="1:26" x14ac:dyDescent="0.35">
      <c r="A369" s="29">
        <v>1</v>
      </c>
      <c r="B369" s="1" t="s">
        <v>3620</v>
      </c>
      <c r="C369" s="1"/>
      <c r="D369" s="1" t="s">
        <v>1677</v>
      </c>
      <c r="E369" s="1" t="s">
        <v>1678</v>
      </c>
      <c r="F369" s="1" t="s">
        <v>1679</v>
      </c>
      <c r="G369" s="5" t="s">
        <v>1680</v>
      </c>
      <c r="H369" s="1" t="s">
        <v>17</v>
      </c>
      <c r="I369" s="2">
        <v>46086</v>
      </c>
      <c r="J369" s="33">
        <f t="shared" si="65"/>
        <v>71009</v>
      </c>
      <c r="K369" s="3">
        <v>5931</v>
      </c>
      <c r="L369" s="3">
        <v>58245</v>
      </c>
      <c r="M369" s="3">
        <v>5833</v>
      </c>
      <c r="N369" s="3">
        <v>0</v>
      </c>
      <c r="O369" s="3">
        <v>1000</v>
      </c>
      <c r="P369" s="1" t="s">
        <v>1681</v>
      </c>
      <c r="Q369" s="3">
        <v>158822</v>
      </c>
      <c r="R369" s="25">
        <f t="shared" si="66"/>
        <v>2.2366460589502739</v>
      </c>
      <c r="S369" s="32">
        <f t="shared" si="70"/>
        <v>71009</v>
      </c>
      <c r="T369" s="3">
        <f t="shared" si="67"/>
        <v>0</v>
      </c>
      <c r="U369" s="1" t="s">
        <v>3615</v>
      </c>
      <c r="V369" s="16">
        <v>1</v>
      </c>
      <c r="W369" s="28">
        <f t="shared" si="64"/>
        <v>1</v>
      </c>
      <c r="X369" s="27">
        <f t="shared" si="68"/>
        <v>1</v>
      </c>
      <c r="Y369" s="18"/>
      <c r="Z369" s="19"/>
    </row>
    <row r="370" spans="1:26" x14ac:dyDescent="0.35">
      <c r="A370" s="29">
        <v>1</v>
      </c>
      <c r="B370" s="1" t="s">
        <v>3620</v>
      </c>
      <c r="C370" s="1"/>
      <c r="D370" s="1" t="s">
        <v>1562</v>
      </c>
      <c r="E370" s="1" t="s">
        <v>1563</v>
      </c>
      <c r="F370" s="1" t="s">
        <v>1564</v>
      </c>
      <c r="G370" s="5" t="s">
        <v>1565</v>
      </c>
      <c r="H370" s="1" t="s">
        <v>624</v>
      </c>
      <c r="I370" s="2">
        <v>46086</v>
      </c>
      <c r="J370" s="33">
        <f t="shared" si="65"/>
        <v>101490</v>
      </c>
      <c r="K370" s="3">
        <v>7706</v>
      </c>
      <c r="L370" s="3">
        <v>84451</v>
      </c>
      <c r="M370" s="3">
        <v>8333</v>
      </c>
      <c r="N370" s="3">
        <v>0</v>
      </c>
      <c r="O370" s="3">
        <v>1000</v>
      </c>
      <c r="P370" s="1" t="s">
        <v>1566</v>
      </c>
      <c r="Q370" s="3">
        <v>212607</v>
      </c>
      <c r="R370" s="25">
        <f t="shared" si="66"/>
        <v>2.0948566361217855</v>
      </c>
      <c r="S370" s="32">
        <f t="shared" si="70"/>
        <v>101490</v>
      </c>
      <c r="T370" s="3">
        <f t="shared" si="67"/>
        <v>0</v>
      </c>
      <c r="U370" s="1" t="s">
        <v>3615</v>
      </c>
      <c r="V370" s="16">
        <v>1</v>
      </c>
      <c r="W370" s="28">
        <f t="shared" si="64"/>
        <v>1</v>
      </c>
      <c r="X370" s="27">
        <f t="shared" si="68"/>
        <v>1</v>
      </c>
      <c r="Y370" s="18"/>
      <c r="Z370" s="19"/>
    </row>
    <row r="371" spans="1:26" x14ac:dyDescent="0.35">
      <c r="A371" s="29">
        <v>1</v>
      </c>
      <c r="B371" s="1" t="s">
        <v>3620</v>
      </c>
      <c r="C371" s="1"/>
      <c r="D371" s="1" t="s">
        <v>1752</v>
      </c>
      <c r="E371" s="1" t="s">
        <v>1753</v>
      </c>
      <c r="F371" s="1" t="s">
        <v>1754</v>
      </c>
      <c r="G371" s="5" t="s">
        <v>1755</v>
      </c>
      <c r="H371" s="1" t="s">
        <v>17</v>
      </c>
      <c r="I371" s="2">
        <v>46086</v>
      </c>
      <c r="J371" s="33">
        <f t="shared" si="65"/>
        <v>302470</v>
      </c>
      <c r="K371" s="3">
        <v>40789</v>
      </c>
      <c r="L371" s="3">
        <v>235681</v>
      </c>
      <c r="M371" s="3">
        <v>25000</v>
      </c>
      <c r="N371" s="3">
        <v>0</v>
      </c>
      <c r="O371" s="3">
        <v>1000</v>
      </c>
      <c r="P371" s="1" t="s">
        <v>1756</v>
      </c>
      <c r="Q371" s="3">
        <v>1034082</v>
      </c>
      <c r="R371" s="25">
        <f t="shared" si="66"/>
        <v>3.4187919463087248</v>
      </c>
      <c r="S371" s="32">
        <f t="shared" si="70"/>
        <v>302470</v>
      </c>
      <c r="T371" s="3">
        <f t="shared" si="67"/>
        <v>0</v>
      </c>
      <c r="U371" s="1" t="s">
        <v>3615</v>
      </c>
      <c r="V371" s="16">
        <v>1</v>
      </c>
      <c r="W371" s="28">
        <f t="shared" si="64"/>
        <v>1</v>
      </c>
      <c r="X371" s="27">
        <f t="shared" si="68"/>
        <v>1</v>
      </c>
      <c r="Y371" s="18"/>
      <c r="Z371" s="19"/>
    </row>
    <row r="372" spans="1:26" x14ac:dyDescent="0.35">
      <c r="A372" s="29">
        <v>1</v>
      </c>
      <c r="B372" s="1" t="s">
        <v>3620</v>
      </c>
      <c r="C372" s="1"/>
      <c r="D372" s="1" t="s">
        <v>1375</v>
      </c>
      <c r="E372" s="1" t="s">
        <v>1376</v>
      </c>
      <c r="F372" s="1" t="s">
        <v>1377</v>
      </c>
      <c r="G372" s="5" t="s">
        <v>1378</v>
      </c>
      <c r="H372" s="1" t="s">
        <v>17</v>
      </c>
      <c r="I372" s="2">
        <v>46086</v>
      </c>
      <c r="J372" s="33">
        <f t="shared" si="65"/>
        <v>501067</v>
      </c>
      <c r="K372" s="3">
        <v>18490</v>
      </c>
      <c r="L372" s="3">
        <v>439910</v>
      </c>
      <c r="M372" s="3">
        <v>41667</v>
      </c>
      <c r="N372" s="3">
        <v>0</v>
      </c>
      <c r="O372" s="3">
        <v>1000</v>
      </c>
      <c r="P372" s="1" t="s">
        <v>1379</v>
      </c>
      <c r="Q372" s="3">
        <v>4543300</v>
      </c>
      <c r="R372" s="25">
        <f t="shared" si="66"/>
        <v>9.067250487459761</v>
      </c>
      <c r="S372" s="32">
        <f t="shared" si="70"/>
        <v>501067</v>
      </c>
      <c r="T372" s="3">
        <f t="shared" si="67"/>
        <v>0</v>
      </c>
      <c r="U372" s="1" t="s">
        <v>3615</v>
      </c>
      <c r="V372" s="16">
        <v>1</v>
      </c>
      <c r="W372" s="28">
        <f t="shared" si="64"/>
        <v>1</v>
      </c>
      <c r="X372" s="27">
        <f t="shared" si="68"/>
        <v>1</v>
      </c>
      <c r="Y372" s="18"/>
      <c r="Z372" s="19"/>
    </row>
    <row r="373" spans="1:26" x14ac:dyDescent="0.35">
      <c r="A373" s="29">
        <v>1</v>
      </c>
      <c r="B373" s="1" t="s">
        <v>3620</v>
      </c>
      <c r="C373" s="1"/>
      <c r="D373" s="1" t="s">
        <v>1672</v>
      </c>
      <c r="E373" s="1" t="s">
        <v>1673</v>
      </c>
      <c r="F373" s="1" t="s">
        <v>1674</v>
      </c>
      <c r="G373" s="5" t="s">
        <v>1675</v>
      </c>
      <c r="H373" s="1" t="s">
        <v>17</v>
      </c>
      <c r="I373" s="2">
        <v>46086</v>
      </c>
      <c r="J373" s="33">
        <f t="shared" ref="J373:J404" si="71">SUM(K373:O373)</f>
        <v>252224</v>
      </c>
      <c r="K373" s="3">
        <v>22422</v>
      </c>
      <c r="L373" s="3">
        <v>207969</v>
      </c>
      <c r="M373" s="3">
        <v>20833</v>
      </c>
      <c r="N373" s="3">
        <v>0</v>
      </c>
      <c r="O373" s="3">
        <v>1000</v>
      </c>
      <c r="P373" s="1" t="s">
        <v>1676</v>
      </c>
      <c r="Q373" s="3">
        <v>763940</v>
      </c>
      <c r="R373" s="25">
        <f t="shared" ref="R373:R404" si="72">Q373/J373</f>
        <v>3.028815655924892</v>
      </c>
      <c r="S373" s="32">
        <f t="shared" si="70"/>
        <v>252224</v>
      </c>
      <c r="T373" s="3">
        <f t="shared" ref="T373:T404" si="73">S373-J373</f>
        <v>0</v>
      </c>
      <c r="U373" s="1" t="s">
        <v>3615</v>
      </c>
      <c r="V373" s="16">
        <v>1</v>
      </c>
      <c r="W373" s="28">
        <f t="shared" si="64"/>
        <v>1</v>
      </c>
      <c r="X373" s="27">
        <f t="shared" ref="X373:X404" si="74">S373/J373</f>
        <v>1</v>
      </c>
      <c r="Y373" s="18"/>
      <c r="Z373" s="19"/>
    </row>
    <row r="374" spans="1:26" x14ac:dyDescent="0.35">
      <c r="A374" s="29">
        <v>1</v>
      </c>
      <c r="B374" s="1" t="s">
        <v>3620</v>
      </c>
      <c r="C374" s="1"/>
      <c r="D374" s="1" t="s">
        <v>1507</v>
      </c>
      <c r="E374" s="1" t="s">
        <v>1508</v>
      </c>
      <c r="F374" s="1" t="s">
        <v>1509</v>
      </c>
      <c r="G374" s="5" t="s">
        <v>1510</v>
      </c>
      <c r="H374" s="1" t="s">
        <v>17</v>
      </c>
      <c r="I374" s="2">
        <v>46086</v>
      </c>
      <c r="J374" s="33">
        <f t="shared" si="71"/>
        <v>101013</v>
      </c>
      <c r="K374" s="3">
        <v>10588</v>
      </c>
      <c r="L374" s="3">
        <v>81092</v>
      </c>
      <c r="M374" s="3">
        <v>8333</v>
      </c>
      <c r="N374" s="3">
        <v>0</v>
      </c>
      <c r="O374" s="3">
        <v>1000</v>
      </c>
      <c r="P374" s="1" t="s">
        <v>1511</v>
      </c>
      <c r="Q374" s="3">
        <v>82869</v>
      </c>
      <c r="R374" s="25">
        <f t="shared" si="72"/>
        <v>0.82037955510676841</v>
      </c>
      <c r="S374" s="32">
        <f>Q374</f>
        <v>82869</v>
      </c>
      <c r="T374" s="31">
        <f t="shared" si="73"/>
        <v>-18144</v>
      </c>
      <c r="U374" s="1" t="s">
        <v>3616</v>
      </c>
      <c r="V374" s="16"/>
      <c r="W374" s="30">
        <f t="shared" si="64"/>
        <v>0</v>
      </c>
      <c r="X374" s="27">
        <f t="shared" si="74"/>
        <v>0.82037955510676841</v>
      </c>
      <c r="Y374" s="18"/>
      <c r="Z374" s="19"/>
    </row>
    <row r="375" spans="1:26" x14ac:dyDescent="0.35">
      <c r="A375" s="29">
        <v>1</v>
      </c>
      <c r="B375" s="1" t="s">
        <v>3620</v>
      </c>
      <c r="C375" s="1"/>
      <c r="D375" s="1" t="s">
        <v>1522</v>
      </c>
      <c r="E375" s="1" t="s">
        <v>1523</v>
      </c>
      <c r="F375" s="1" t="s">
        <v>21</v>
      </c>
      <c r="G375" s="5" t="s">
        <v>1524</v>
      </c>
      <c r="H375" s="1" t="s">
        <v>17</v>
      </c>
      <c r="I375" s="2">
        <v>46086</v>
      </c>
      <c r="J375" s="33">
        <f t="shared" si="71"/>
        <v>58128</v>
      </c>
      <c r="K375" s="3">
        <v>9170</v>
      </c>
      <c r="L375" s="3">
        <v>43291</v>
      </c>
      <c r="M375" s="3">
        <v>4667</v>
      </c>
      <c r="N375" s="3">
        <v>0</v>
      </c>
      <c r="O375" s="3">
        <v>1000</v>
      </c>
      <c r="P375" s="1" t="s">
        <v>1525</v>
      </c>
      <c r="Q375" s="3">
        <v>162464</v>
      </c>
      <c r="R375" s="25">
        <f t="shared" si="72"/>
        <v>2.794935315166529</v>
      </c>
      <c r="S375" s="32">
        <f>J375</f>
        <v>58128</v>
      </c>
      <c r="T375" s="3">
        <f t="shared" si="73"/>
        <v>0</v>
      </c>
      <c r="U375" s="1" t="s">
        <v>3615</v>
      </c>
      <c r="V375" s="16">
        <v>1</v>
      </c>
      <c r="W375" s="28">
        <f t="shared" si="64"/>
        <v>1</v>
      </c>
      <c r="X375" s="27">
        <f t="shared" si="74"/>
        <v>1</v>
      </c>
      <c r="Y375" s="18"/>
      <c r="Z375" s="19"/>
    </row>
    <row r="376" spans="1:26" x14ac:dyDescent="0.35">
      <c r="A376" s="29">
        <v>1</v>
      </c>
      <c r="B376" s="1" t="s">
        <v>3620</v>
      </c>
      <c r="C376" s="1"/>
      <c r="D376" s="1" t="s">
        <v>1757</v>
      </c>
      <c r="E376" s="1" t="s">
        <v>1758</v>
      </c>
      <c r="F376" s="1" t="s">
        <v>21</v>
      </c>
      <c r="G376" s="5" t="s">
        <v>1759</v>
      </c>
      <c r="H376" s="1" t="s">
        <v>17</v>
      </c>
      <c r="I376" s="2">
        <v>46086</v>
      </c>
      <c r="J376" s="33">
        <f t="shared" si="71"/>
        <v>139723</v>
      </c>
      <c r="K376" s="3">
        <v>26508</v>
      </c>
      <c r="L376" s="3">
        <v>101104</v>
      </c>
      <c r="M376" s="3">
        <v>11111</v>
      </c>
      <c r="N376" s="3">
        <v>0</v>
      </c>
      <c r="O376" s="3">
        <v>1000</v>
      </c>
      <c r="P376" s="1" t="s">
        <v>1760</v>
      </c>
      <c r="Q376" s="3">
        <v>298705</v>
      </c>
      <c r="R376" s="25">
        <f t="shared" si="72"/>
        <v>2.1378370060763081</v>
      </c>
      <c r="S376" s="32">
        <f>J376</f>
        <v>139723</v>
      </c>
      <c r="T376" s="3">
        <f t="shared" si="73"/>
        <v>0</v>
      </c>
      <c r="U376" s="1" t="s">
        <v>3615</v>
      </c>
      <c r="V376" s="16">
        <v>1</v>
      </c>
      <c r="W376" s="28">
        <f t="shared" si="64"/>
        <v>1</v>
      </c>
      <c r="X376" s="27">
        <f t="shared" si="74"/>
        <v>1</v>
      </c>
      <c r="Y376" s="18"/>
      <c r="Z376" s="19"/>
    </row>
    <row r="377" spans="1:26" x14ac:dyDescent="0.35">
      <c r="A377" s="29">
        <v>1</v>
      </c>
      <c r="B377" s="1" t="s">
        <v>3620</v>
      </c>
      <c r="C377" s="1"/>
      <c r="D377" s="1" t="s">
        <v>1589</v>
      </c>
      <c r="E377" s="1" t="s">
        <v>1590</v>
      </c>
      <c r="F377" s="1" t="s">
        <v>21</v>
      </c>
      <c r="G377" s="5" t="s">
        <v>1591</v>
      </c>
      <c r="H377" s="1" t="s">
        <v>17</v>
      </c>
      <c r="I377" s="2">
        <v>46086</v>
      </c>
      <c r="J377" s="33">
        <f t="shared" si="71"/>
        <v>201027</v>
      </c>
      <c r="K377" s="3">
        <v>23586</v>
      </c>
      <c r="L377" s="3">
        <v>159774</v>
      </c>
      <c r="M377" s="3">
        <v>16667</v>
      </c>
      <c r="N377" s="3">
        <v>0</v>
      </c>
      <c r="O377" s="3">
        <v>1000</v>
      </c>
      <c r="P377" s="1" t="s">
        <v>1592</v>
      </c>
      <c r="Q377" s="3">
        <v>92781</v>
      </c>
      <c r="R377" s="25">
        <f t="shared" si="72"/>
        <v>0.4615350176841917</v>
      </c>
      <c r="S377" s="32">
        <f>Q377</f>
        <v>92781</v>
      </c>
      <c r="T377" s="31">
        <f t="shared" si="73"/>
        <v>-108246</v>
      </c>
      <c r="U377" s="1" t="s">
        <v>3616</v>
      </c>
      <c r="V377" s="16"/>
      <c r="W377" s="30">
        <f t="shared" si="64"/>
        <v>0</v>
      </c>
      <c r="X377" s="27">
        <f t="shared" si="74"/>
        <v>0.4615350176841917</v>
      </c>
      <c r="Y377" s="18"/>
      <c r="Z377" s="19"/>
    </row>
    <row r="378" spans="1:26" x14ac:dyDescent="0.35">
      <c r="A378" s="29">
        <v>1</v>
      </c>
      <c r="B378" s="1" t="s">
        <v>3620</v>
      </c>
      <c r="C378" s="1"/>
      <c r="D378" s="1" t="s">
        <v>1544</v>
      </c>
      <c r="E378" s="1" t="s">
        <v>1545</v>
      </c>
      <c r="F378" s="1" t="s">
        <v>21</v>
      </c>
      <c r="G378" s="5" t="s">
        <v>1546</v>
      </c>
      <c r="H378" s="1" t="s">
        <v>17</v>
      </c>
      <c r="I378" s="2">
        <v>46086</v>
      </c>
      <c r="J378" s="33">
        <f t="shared" si="71"/>
        <v>151020</v>
      </c>
      <c r="K378" s="3">
        <v>10974</v>
      </c>
      <c r="L378" s="3">
        <v>126546</v>
      </c>
      <c r="M378" s="3">
        <v>12500</v>
      </c>
      <c r="N378" s="3">
        <v>0</v>
      </c>
      <c r="O378" s="3">
        <v>1000</v>
      </c>
      <c r="P378" s="1" t="s">
        <v>1547</v>
      </c>
      <c r="Q378" s="3">
        <v>21540</v>
      </c>
      <c r="R378" s="25">
        <f t="shared" si="72"/>
        <v>0.1426301152165276</v>
      </c>
      <c r="S378" s="32">
        <f>Q378</f>
        <v>21540</v>
      </c>
      <c r="T378" s="31">
        <f t="shared" si="73"/>
        <v>-129480</v>
      </c>
      <c r="U378" s="1" t="s">
        <v>3616</v>
      </c>
      <c r="V378" s="16"/>
      <c r="W378" s="30">
        <f t="shared" si="64"/>
        <v>0</v>
      </c>
      <c r="X378" s="27">
        <f t="shared" si="74"/>
        <v>0.1426301152165276</v>
      </c>
      <c r="Y378" s="18"/>
      <c r="Z378" s="19"/>
    </row>
    <row r="379" spans="1:26" x14ac:dyDescent="0.35">
      <c r="A379" s="29">
        <v>1</v>
      </c>
      <c r="B379" s="1" t="s">
        <v>3620</v>
      </c>
      <c r="C379" s="1"/>
      <c r="D379" s="1" t="s">
        <v>1418</v>
      </c>
      <c r="E379" s="1" t="s">
        <v>1419</v>
      </c>
      <c r="F379" s="1" t="s">
        <v>21</v>
      </c>
      <c r="G379" s="5" t="s">
        <v>1420</v>
      </c>
      <c r="H379" s="1" t="s">
        <v>17</v>
      </c>
      <c r="I379" s="2">
        <v>46086</v>
      </c>
      <c r="J379" s="33">
        <f t="shared" si="71"/>
        <v>139723</v>
      </c>
      <c r="K379" s="3">
        <v>20914</v>
      </c>
      <c r="L379" s="3">
        <v>106698</v>
      </c>
      <c r="M379" s="3">
        <v>11111</v>
      </c>
      <c r="N379" s="3">
        <v>0</v>
      </c>
      <c r="O379" s="3">
        <v>1000</v>
      </c>
      <c r="P379" s="1" t="s">
        <v>1421</v>
      </c>
      <c r="Q379" s="3">
        <v>374056</v>
      </c>
      <c r="R379" s="25">
        <f t="shared" si="72"/>
        <v>2.6771254553652586</v>
      </c>
      <c r="S379" s="32">
        <f>J379</f>
        <v>139723</v>
      </c>
      <c r="T379" s="3">
        <f t="shared" si="73"/>
        <v>0</v>
      </c>
      <c r="U379" s="1" t="s">
        <v>3615</v>
      </c>
      <c r="V379" s="16">
        <v>1</v>
      </c>
      <c r="W379" s="28">
        <f t="shared" si="64"/>
        <v>1</v>
      </c>
      <c r="X379" s="27">
        <f t="shared" si="74"/>
        <v>1</v>
      </c>
      <c r="Y379" s="18"/>
      <c r="Z379" s="19"/>
    </row>
    <row r="380" spans="1:26" x14ac:dyDescent="0.35">
      <c r="A380" s="29">
        <v>1</v>
      </c>
      <c r="B380" s="1" t="s">
        <v>3620</v>
      </c>
      <c r="C380" s="1"/>
      <c r="D380" s="1" t="s">
        <v>1686</v>
      </c>
      <c r="E380" s="1" t="s">
        <v>1687</v>
      </c>
      <c r="F380" s="1" t="s">
        <v>21</v>
      </c>
      <c r="G380" s="5" t="s">
        <v>1688</v>
      </c>
      <c r="H380" s="1" t="s">
        <v>624</v>
      </c>
      <c r="I380" s="2">
        <v>46086</v>
      </c>
      <c r="J380" s="33">
        <f t="shared" si="71"/>
        <v>201980</v>
      </c>
      <c r="K380" s="3">
        <v>17825</v>
      </c>
      <c r="L380" s="3">
        <v>166488</v>
      </c>
      <c r="M380" s="3">
        <v>16667</v>
      </c>
      <c r="N380" s="3">
        <v>0</v>
      </c>
      <c r="O380" s="3">
        <v>1000</v>
      </c>
      <c r="P380" s="1" t="s">
        <v>1689</v>
      </c>
      <c r="Q380" s="3">
        <v>386435</v>
      </c>
      <c r="R380" s="25">
        <f t="shared" si="72"/>
        <v>1.913233983562729</v>
      </c>
      <c r="S380" s="32">
        <f>J380</f>
        <v>201980</v>
      </c>
      <c r="T380" s="3">
        <f t="shared" si="73"/>
        <v>0</v>
      </c>
      <c r="U380" s="1" t="s">
        <v>3615</v>
      </c>
      <c r="V380" s="16">
        <v>1</v>
      </c>
      <c r="W380" s="28">
        <f t="shared" si="64"/>
        <v>1</v>
      </c>
      <c r="X380" s="27">
        <f t="shared" si="74"/>
        <v>1</v>
      </c>
      <c r="Y380" s="18"/>
      <c r="Z380" s="19"/>
    </row>
    <row r="381" spans="1:26" x14ac:dyDescent="0.35">
      <c r="A381" s="29">
        <v>1</v>
      </c>
      <c r="B381" s="1" t="s">
        <v>3620</v>
      </c>
      <c r="C381" s="1"/>
      <c r="D381" s="1" t="s">
        <v>1535</v>
      </c>
      <c r="E381" s="1" t="s">
        <v>1536</v>
      </c>
      <c r="F381" s="1" t="s">
        <v>21</v>
      </c>
      <c r="G381" s="5" t="s">
        <v>1537</v>
      </c>
      <c r="H381" s="1" t="s">
        <v>17</v>
      </c>
      <c r="I381" s="2">
        <v>46086</v>
      </c>
      <c r="J381" s="33">
        <f t="shared" si="71"/>
        <v>329348</v>
      </c>
      <c r="K381" s="3">
        <v>37082</v>
      </c>
      <c r="L381" s="3">
        <v>264599</v>
      </c>
      <c r="M381" s="3">
        <v>26667</v>
      </c>
      <c r="N381" s="3">
        <v>0</v>
      </c>
      <c r="O381" s="3">
        <v>1000</v>
      </c>
      <c r="P381" s="1" t="s">
        <v>1538</v>
      </c>
      <c r="Q381" s="3">
        <v>335108</v>
      </c>
      <c r="R381" s="25">
        <f t="shared" si="72"/>
        <v>1.0174890996757229</v>
      </c>
      <c r="S381" s="32">
        <f>J381</f>
        <v>329348</v>
      </c>
      <c r="T381" s="3">
        <f t="shared" si="73"/>
        <v>0</v>
      </c>
      <c r="U381" s="1" t="s">
        <v>3615</v>
      </c>
      <c r="V381" s="16">
        <v>1</v>
      </c>
      <c r="W381" s="28">
        <f t="shared" si="64"/>
        <v>1</v>
      </c>
      <c r="X381" s="27">
        <f t="shared" si="74"/>
        <v>1</v>
      </c>
      <c r="Y381" s="18"/>
      <c r="Z381" s="19"/>
    </row>
    <row r="382" spans="1:26" x14ac:dyDescent="0.35">
      <c r="A382" s="29">
        <v>1</v>
      </c>
      <c r="B382" s="1" t="s">
        <v>3620</v>
      </c>
      <c r="C382" s="1"/>
      <c r="D382" s="1" t="s">
        <v>1655</v>
      </c>
      <c r="E382" s="1" t="s">
        <v>1656</v>
      </c>
      <c r="F382" s="1" t="s">
        <v>21</v>
      </c>
      <c r="G382" s="5" t="s">
        <v>1657</v>
      </c>
      <c r="H382" s="1" t="s">
        <v>32</v>
      </c>
      <c r="I382" s="2">
        <v>46086</v>
      </c>
      <c r="J382" s="33">
        <f t="shared" si="71"/>
        <v>175598</v>
      </c>
      <c r="K382" s="3">
        <v>25608</v>
      </c>
      <c r="L382" s="3">
        <v>135101</v>
      </c>
      <c r="M382" s="3">
        <v>13889</v>
      </c>
      <c r="N382" s="3">
        <v>0</v>
      </c>
      <c r="O382" s="3">
        <v>1000</v>
      </c>
      <c r="P382" s="1" t="s">
        <v>1658</v>
      </c>
      <c r="Q382" s="3">
        <v>-1000</v>
      </c>
      <c r="R382" s="25">
        <f t="shared" si="72"/>
        <v>-5.6948256813858927E-3</v>
      </c>
      <c r="S382" s="32">
        <v>0</v>
      </c>
      <c r="T382" s="31">
        <f t="shared" si="73"/>
        <v>-175598</v>
      </c>
      <c r="U382" s="1" t="s">
        <v>3616</v>
      </c>
      <c r="V382" s="16"/>
      <c r="W382" s="30">
        <f t="shared" si="64"/>
        <v>0</v>
      </c>
      <c r="X382" s="27">
        <f t="shared" si="74"/>
        <v>0</v>
      </c>
      <c r="Y382" s="18"/>
      <c r="Z382" s="19"/>
    </row>
    <row r="383" spans="1:26" x14ac:dyDescent="0.35">
      <c r="A383" s="29">
        <v>1</v>
      </c>
      <c r="B383" s="1" t="s">
        <v>3620</v>
      </c>
      <c r="C383" s="1"/>
      <c r="D383" s="1" t="s">
        <v>1390</v>
      </c>
      <c r="E383" s="1" t="s">
        <v>1391</v>
      </c>
      <c r="F383" s="1" t="s">
        <v>21</v>
      </c>
      <c r="G383" s="5" t="s">
        <v>1392</v>
      </c>
      <c r="H383" s="1" t="s">
        <v>32</v>
      </c>
      <c r="I383" s="2">
        <v>46086</v>
      </c>
      <c r="J383" s="33">
        <f t="shared" si="71"/>
        <v>66288</v>
      </c>
      <c r="K383" s="3">
        <v>7005</v>
      </c>
      <c r="L383" s="3">
        <v>52950</v>
      </c>
      <c r="M383" s="3">
        <v>5333</v>
      </c>
      <c r="N383" s="3">
        <v>0</v>
      </c>
      <c r="O383" s="3">
        <v>1000</v>
      </c>
      <c r="P383" s="1" t="s">
        <v>1393</v>
      </c>
      <c r="Q383" s="3">
        <v>157889</v>
      </c>
      <c r="R383" s="25">
        <f t="shared" si="72"/>
        <v>2.3818639874487086</v>
      </c>
      <c r="S383" s="32">
        <f>J383</f>
        <v>66288</v>
      </c>
      <c r="T383" s="3">
        <f t="shared" si="73"/>
        <v>0</v>
      </c>
      <c r="U383" s="1" t="s">
        <v>3615</v>
      </c>
      <c r="V383" s="16">
        <v>1</v>
      </c>
      <c r="W383" s="28">
        <f t="shared" si="64"/>
        <v>1</v>
      </c>
      <c r="X383" s="27">
        <f t="shared" si="74"/>
        <v>1</v>
      </c>
      <c r="Y383" s="18"/>
      <c r="Z383" s="19"/>
    </row>
    <row r="384" spans="1:26" x14ac:dyDescent="0.35">
      <c r="A384" s="29">
        <v>1</v>
      </c>
      <c r="B384" s="1" t="s">
        <v>3620</v>
      </c>
      <c r="C384" s="1"/>
      <c r="D384" s="1" t="s">
        <v>1558</v>
      </c>
      <c r="E384" s="1" t="s">
        <v>1559</v>
      </c>
      <c r="F384" s="1" t="s">
        <v>21</v>
      </c>
      <c r="G384" s="5" t="s">
        <v>1560</v>
      </c>
      <c r="H384" s="1" t="s">
        <v>17</v>
      </c>
      <c r="I384" s="2">
        <v>46086</v>
      </c>
      <c r="J384" s="33">
        <f t="shared" si="71"/>
        <v>201980</v>
      </c>
      <c r="K384" s="3">
        <v>15412</v>
      </c>
      <c r="L384" s="3">
        <v>168901</v>
      </c>
      <c r="M384" s="3">
        <v>16667</v>
      </c>
      <c r="N384" s="3">
        <v>0</v>
      </c>
      <c r="O384" s="3">
        <v>1000</v>
      </c>
      <c r="P384" s="1" t="s">
        <v>1561</v>
      </c>
      <c r="Q384" s="3">
        <v>0</v>
      </c>
      <c r="R384" s="25">
        <f t="shared" si="72"/>
        <v>0</v>
      </c>
      <c r="S384" s="32">
        <f>Q384</f>
        <v>0</v>
      </c>
      <c r="T384" s="31">
        <f t="shared" si="73"/>
        <v>-201980</v>
      </c>
      <c r="U384" s="1" t="s">
        <v>3616</v>
      </c>
      <c r="V384" s="16"/>
      <c r="W384" s="30">
        <f t="shared" si="64"/>
        <v>0</v>
      </c>
      <c r="X384" s="27">
        <f t="shared" si="74"/>
        <v>0</v>
      </c>
      <c r="Y384" s="18"/>
      <c r="Z384" s="19"/>
    </row>
    <row r="385" spans="1:26" x14ac:dyDescent="0.35">
      <c r="A385" s="29">
        <v>1</v>
      </c>
      <c r="B385" s="1" t="s">
        <v>3620</v>
      </c>
      <c r="C385" s="1"/>
      <c r="D385" s="1" t="s">
        <v>1659</v>
      </c>
      <c r="E385" s="1" t="s">
        <v>1660</v>
      </c>
      <c r="F385" s="1" t="s">
        <v>21</v>
      </c>
      <c r="G385" s="5" t="s">
        <v>1661</v>
      </c>
      <c r="H385" s="1" t="s">
        <v>17</v>
      </c>
      <c r="I385" s="2">
        <v>46086</v>
      </c>
      <c r="J385" s="33">
        <f t="shared" si="71"/>
        <v>41005</v>
      </c>
      <c r="K385" s="3">
        <v>2909</v>
      </c>
      <c r="L385" s="3">
        <v>33763</v>
      </c>
      <c r="M385" s="3">
        <v>3333</v>
      </c>
      <c r="N385" s="3">
        <v>0</v>
      </c>
      <c r="O385" s="3">
        <v>1000</v>
      </c>
      <c r="P385" s="1" t="s">
        <v>1662</v>
      </c>
      <c r="Q385" s="3">
        <v>107968</v>
      </c>
      <c r="R385" s="25">
        <f t="shared" si="72"/>
        <v>2.633044750640166</v>
      </c>
      <c r="S385" s="32">
        <f>J385</f>
        <v>41005</v>
      </c>
      <c r="T385" s="3">
        <f t="shared" si="73"/>
        <v>0</v>
      </c>
      <c r="U385" s="1" t="s">
        <v>3615</v>
      </c>
      <c r="V385" s="16">
        <v>1</v>
      </c>
      <c r="W385" s="28">
        <f t="shared" si="64"/>
        <v>1</v>
      </c>
      <c r="X385" s="27">
        <f t="shared" si="74"/>
        <v>1</v>
      </c>
      <c r="Y385" s="18"/>
      <c r="Z385" s="19"/>
    </row>
    <row r="386" spans="1:26" x14ac:dyDescent="0.35">
      <c r="A386" s="29">
        <v>1</v>
      </c>
      <c r="B386" s="1" t="s">
        <v>3620</v>
      </c>
      <c r="C386" s="1"/>
      <c r="D386" s="1" t="s">
        <v>1779</v>
      </c>
      <c r="E386" s="1" t="s">
        <v>1780</v>
      </c>
      <c r="F386" s="1" t="s">
        <v>21</v>
      </c>
      <c r="G386" s="5" t="s">
        <v>1781</v>
      </c>
      <c r="H386" s="1" t="s">
        <v>32</v>
      </c>
      <c r="I386" s="2">
        <v>46086</v>
      </c>
      <c r="J386" s="33">
        <f t="shared" si="71"/>
        <v>105042</v>
      </c>
      <c r="K386" s="3">
        <v>15686</v>
      </c>
      <c r="L386" s="3">
        <v>80023</v>
      </c>
      <c r="M386" s="3">
        <v>8333</v>
      </c>
      <c r="N386" s="3">
        <v>0</v>
      </c>
      <c r="O386" s="3">
        <v>1000</v>
      </c>
      <c r="P386" s="1" t="s">
        <v>1782</v>
      </c>
      <c r="Q386" s="3">
        <v>484790</v>
      </c>
      <c r="R386" s="25">
        <f t="shared" si="72"/>
        <v>4.6152015384322462</v>
      </c>
      <c r="S386" s="32">
        <f>J386</f>
        <v>105042</v>
      </c>
      <c r="T386" s="3">
        <f t="shared" si="73"/>
        <v>0</v>
      </c>
      <c r="U386" s="1" t="s">
        <v>3615</v>
      </c>
      <c r="V386" s="16">
        <v>1</v>
      </c>
      <c r="W386" s="28">
        <f t="shared" si="64"/>
        <v>1</v>
      </c>
      <c r="X386" s="27">
        <f t="shared" si="74"/>
        <v>1</v>
      </c>
      <c r="Y386" s="18"/>
      <c r="Z386" s="19"/>
    </row>
    <row r="387" spans="1:26" x14ac:dyDescent="0.35">
      <c r="A387" s="29">
        <v>1</v>
      </c>
      <c r="B387" s="1" t="s">
        <v>3620</v>
      </c>
      <c r="C387" s="1"/>
      <c r="D387" s="1" t="s">
        <v>1632</v>
      </c>
      <c r="E387" s="1" t="s">
        <v>1633</v>
      </c>
      <c r="F387" s="1" t="s">
        <v>21</v>
      </c>
      <c r="G387" s="5" t="s">
        <v>1634</v>
      </c>
      <c r="H387" s="1" t="s">
        <v>17</v>
      </c>
      <c r="I387" s="2">
        <v>46086</v>
      </c>
      <c r="J387" s="33">
        <f t="shared" si="71"/>
        <v>201980</v>
      </c>
      <c r="K387" s="3">
        <v>15478</v>
      </c>
      <c r="L387" s="3">
        <v>168835</v>
      </c>
      <c r="M387" s="3">
        <v>16667</v>
      </c>
      <c r="N387" s="3">
        <v>0</v>
      </c>
      <c r="O387" s="3">
        <v>1000</v>
      </c>
      <c r="P387" s="1" t="s">
        <v>1635</v>
      </c>
      <c r="Q387" s="3">
        <v>136869</v>
      </c>
      <c r="R387" s="25">
        <f t="shared" si="72"/>
        <v>0.67763639964352906</v>
      </c>
      <c r="S387" s="32">
        <f>Q387</f>
        <v>136869</v>
      </c>
      <c r="T387" s="31">
        <f t="shared" si="73"/>
        <v>-65111</v>
      </c>
      <c r="U387" s="1" t="s">
        <v>3616</v>
      </c>
      <c r="V387" s="16"/>
      <c r="W387" s="30">
        <f t="shared" ref="W387:W450" si="75">V387/A387</f>
        <v>0</v>
      </c>
      <c r="X387" s="27">
        <f t="shared" si="74"/>
        <v>0.67763639964352906</v>
      </c>
      <c r="Y387" s="18"/>
      <c r="Z387" s="19"/>
    </row>
    <row r="388" spans="1:26" x14ac:dyDescent="0.35">
      <c r="A388" s="29">
        <v>1</v>
      </c>
      <c r="B388" s="1" t="s">
        <v>3620</v>
      </c>
      <c r="C388" s="1"/>
      <c r="D388" s="1" t="s">
        <v>1576</v>
      </c>
      <c r="E388" s="1" t="s">
        <v>1577</v>
      </c>
      <c r="F388" s="1" t="s">
        <v>21</v>
      </c>
      <c r="G388" s="5" t="s">
        <v>1578</v>
      </c>
      <c r="H388" s="1" t="s">
        <v>467</v>
      </c>
      <c r="I388" s="2">
        <v>46086</v>
      </c>
      <c r="J388" s="33">
        <f t="shared" si="71"/>
        <v>33101</v>
      </c>
      <c r="K388" s="3">
        <v>2151</v>
      </c>
      <c r="L388" s="3">
        <v>29950</v>
      </c>
      <c r="M388" s="3">
        <v>0</v>
      </c>
      <c r="N388" s="3">
        <v>0</v>
      </c>
      <c r="O388" s="3">
        <v>1000</v>
      </c>
      <c r="P388" s="1" t="s">
        <v>1579</v>
      </c>
      <c r="Q388" s="3">
        <v>26596</v>
      </c>
      <c r="R388" s="25">
        <f t="shared" si="72"/>
        <v>0.80348025739403639</v>
      </c>
      <c r="S388" s="32">
        <f>Q388</f>
        <v>26596</v>
      </c>
      <c r="T388" s="31">
        <f t="shared" si="73"/>
        <v>-6505</v>
      </c>
      <c r="U388" s="1" t="s">
        <v>3616</v>
      </c>
      <c r="V388" s="16"/>
      <c r="W388" s="30">
        <f t="shared" si="75"/>
        <v>0</v>
      </c>
      <c r="X388" s="27">
        <f t="shared" si="74"/>
        <v>0.80348025739403639</v>
      </c>
      <c r="Y388" s="18"/>
      <c r="Z388" s="19"/>
    </row>
    <row r="389" spans="1:26" x14ac:dyDescent="0.35">
      <c r="A389" s="29">
        <v>1</v>
      </c>
      <c r="B389" s="1" t="s">
        <v>3620</v>
      </c>
      <c r="C389" s="1"/>
      <c r="D389" s="1" t="s">
        <v>1651</v>
      </c>
      <c r="E389" s="1" t="s">
        <v>1652</v>
      </c>
      <c r="F389" s="1" t="s">
        <v>21</v>
      </c>
      <c r="G389" s="5" t="s">
        <v>1653</v>
      </c>
      <c r="H389" s="1" t="s">
        <v>32</v>
      </c>
      <c r="I389" s="2">
        <v>46086</v>
      </c>
      <c r="J389" s="33">
        <f t="shared" si="71"/>
        <v>82863</v>
      </c>
      <c r="K389" s="3">
        <v>17296</v>
      </c>
      <c r="L389" s="3">
        <v>58317</v>
      </c>
      <c r="M389" s="3">
        <v>6250</v>
      </c>
      <c r="N389" s="3">
        <v>0</v>
      </c>
      <c r="O389" s="3">
        <v>1000</v>
      </c>
      <c r="P389" s="1" t="s">
        <v>1654</v>
      </c>
      <c r="Q389" s="3">
        <v>0</v>
      </c>
      <c r="R389" s="25">
        <f t="shared" si="72"/>
        <v>0</v>
      </c>
      <c r="S389" s="32">
        <f>Q389</f>
        <v>0</v>
      </c>
      <c r="T389" s="31">
        <f t="shared" si="73"/>
        <v>-82863</v>
      </c>
      <c r="U389" s="1" t="s">
        <v>3616</v>
      </c>
      <c r="V389" s="16"/>
      <c r="W389" s="30">
        <f t="shared" si="75"/>
        <v>0</v>
      </c>
      <c r="X389" s="27">
        <f t="shared" si="74"/>
        <v>0</v>
      </c>
      <c r="Y389" s="18"/>
      <c r="Z389" s="19"/>
    </row>
    <row r="390" spans="1:26" x14ac:dyDescent="0.35">
      <c r="A390" s="29">
        <v>1</v>
      </c>
      <c r="B390" s="1" t="s">
        <v>3620</v>
      </c>
      <c r="C390" s="1"/>
      <c r="D390" s="1" t="s">
        <v>1567</v>
      </c>
      <c r="E390" s="1" t="s">
        <v>1568</v>
      </c>
      <c r="F390" s="1" t="s">
        <v>21</v>
      </c>
      <c r="G390" s="5" t="s">
        <v>1569</v>
      </c>
      <c r="H390" s="1" t="s">
        <v>17</v>
      </c>
      <c r="I390" s="2">
        <v>46086</v>
      </c>
      <c r="J390" s="33">
        <f t="shared" si="71"/>
        <v>51245</v>
      </c>
      <c r="K390" s="3">
        <v>3849</v>
      </c>
      <c r="L390" s="3">
        <v>42229</v>
      </c>
      <c r="M390" s="3">
        <v>4167</v>
      </c>
      <c r="N390" s="3">
        <v>0</v>
      </c>
      <c r="O390" s="3">
        <v>1000</v>
      </c>
      <c r="P390" s="1" t="s">
        <v>1570</v>
      </c>
      <c r="Q390" s="3">
        <v>16919</v>
      </c>
      <c r="R390" s="25">
        <f t="shared" si="72"/>
        <v>0.33015903990633233</v>
      </c>
      <c r="S390" s="32">
        <f>Q390</f>
        <v>16919</v>
      </c>
      <c r="T390" s="31">
        <f t="shared" si="73"/>
        <v>-34326</v>
      </c>
      <c r="U390" s="1" t="s">
        <v>3616</v>
      </c>
      <c r="V390" s="16"/>
      <c r="W390" s="30">
        <f t="shared" si="75"/>
        <v>0</v>
      </c>
      <c r="X390" s="27">
        <f t="shared" si="74"/>
        <v>0.33015903990633233</v>
      </c>
      <c r="Y390" s="18"/>
      <c r="Z390" s="19"/>
    </row>
    <row r="391" spans="1:26" x14ac:dyDescent="0.35">
      <c r="A391" s="29">
        <v>1</v>
      </c>
      <c r="B391" s="1" t="s">
        <v>3620</v>
      </c>
      <c r="C391" s="1"/>
      <c r="D391" s="1" t="s">
        <v>1663</v>
      </c>
      <c r="E391" s="1" t="s">
        <v>1664</v>
      </c>
      <c r="F391" s="1" t="s">
        <v>21</v>
      </c>
      <c r="G391" s="5" t="s">
        <v>1665</v>
      </c>
      <c r="H391" s="1" t="s">
        <v>17</v>
      </c>
      <c r="I391" s="2">
        <v>46086</v>
      </c>
      <c r="J391" s="33">
        <f t="shared" si="71"/>
        <v>51007</v>
      </c>
      <c r="K391" s="3">
        <v>3614</v>
      </c>
      <c r="L391" s="3">
        <v>42226</v>
      </c>
      <c r="M391" s="3">
        <v>4167</v>
      </c>
      <c r="N391" s="3">
        <v>0</v>
      </c>
      <c r="O391" s="3">
        <v>1000</v>
      </c>
      <c r="P391" s="1" t="s">
        <v>1666</v>
      </c>
      <c r="Q391" s="3">
        <v>103460</v>
      </c>
      <c r="R391" s="25">
        <f t="shared" si="72"/>
        <v>2.0283490501303745</v>
      </c>
      <c r="S391" s="32">
        <f>J391</f>
        <v>51007</v>
      </c>
      <c r="T391" s="3">
        <f t="shared" si="73"/>
        <v>0</v>
      </c>
      <c r="U391" s="1" t="s">
        <v>3615</v>
      </c>
      <c r="V391" s="16">
        <v>1</v>
      </c>
      <c r="W391" s="28">
        <f t="shared" si="75"/>
        <v>1</v>
      </c>
      <c r="X391" s="27">
        <f t="shared" si="74"/>
        <v>1</v>
      </c>
      <c r="Y391" s="18"/>
      <c r="Z391" s="19"/>
    </row>
    <row r="392" spans="1:26" x14ac:dyDescent="0.35">
      <c r="A392" s="29">
        <v>1</v>
      </c>
      <c r="B392" s="1" t="s">
        <v>3620</v>
      </c>
      <c r="C392" s="1"/>
      <c r="D392" s="1" t="s">
        <v>1399</v>
      </c>
      <c r="E392" s="1" t="s">
        <v>1400</v>
      </c>
      <c r="F392" s="1" t="s">
        <v>21</v>
      </c>
      <c r="G392" s="5" t="s">
        <v>1401</v>
      </c>
      <c r="H392" s="1" t="s">
        <v>32</v>
      </c>
      <c r="I392" s="2">
        <v>46086</v>
      </c>
      <c r="J392" s="33">
        <f t="shared" si="71"/>
        <v>101490</v>
      </c>
      <c r="K392" s="3">
        <v>7698</v>
      </c>
      <c r="L392" s="3">
        <v>84459</v>
      </c>
      <c r="M392" s="3">
        <v>8333</v>
      </c>
      <c r="N392" s="3">
        <v>0</v>
      </c>
      <c r="O392" s="3">
        <v>1000</v>
      </c>
      <c r="P392" s="1" t="s">
        <v>1402</v>
      </c>
      <c r="Q392" s="3">
        <v>5477</v>
      </c>
      <c r="R392" s="25">
        <f t="shared" si="72"/>
        <v>5.3965907971228695E-2</v>
      </c>
      <c r="S392" s="32">
        <f>Q392</f>
        <v>5477</v>
      </c>
      <c r="T392" s="31">
        <f t="shared" si="73"/>
        <v>-96013</v>
      </c>
      <c r="U392" s="1" t="s">
        <v>3616</v>
      </c>
      <c r="V392" s="16"/>
      <c r="W392" s="30">
        <f t="shared" si="75"/>
        <v>0</v>
      </c>
      <c r="X392" s="27">
        <f t="shared" si="74"/>
        <v>5.3965907971228695E-2</v>
      </c>
      <c r="Y392" s="18"/>
      <c r="Z392" s="19"/>
    </row>
    <row r="393" spans="1:26" x14ac:dyDescent="0.35">
      <c r="A393" s="29">
        <v>1</v>
      </c>
      <c r="B393" s="1" t="s">
        <v>3620</v>
      </c>
      <c r="C393" s="1"/>
      <c r="D393" s="1" t="s">
        <v>1422</v>
      </c>
      <c r="E393" s="1" t="s">
        <v>1423</v>
      </c>
      <c r="F393" s="1" t="s">
        <v>21</v>
      </c>
      <c r="G393" s="5" t="s">
        <v>1424</v>
      </c>
      <c r="H393" s="1" t="s">
        <v>17</v>
      </c>
      <c r="I393" s="2">
        <v>46086</v>
      </c>
      <c r="J393" s="33">
        <f t="shared" si="71"/>
        <v>101013</v>
      </c>
      <c r="K393" s="3">
        <v>8473</v>
      </c>
      <c r="L393" s="3">
        <v>83207</v>
      </c>
      <c r="M393" s="3">
        <v>8333</v>
      </c>
      <c r="N393" s="3">
        <v>0</v>
      </c>
      <c r="O393" s="3">
        <v>1000</v>
      </c>
      <c r="P393" s="1" t="s">
        <v>1425</v>
      </c>
      <c r="Q393" s="3">
        <v>237600</v>
      </c>
      <c r="R393" s="25">
        <f t="shared" si="72"/>
        <v>2.3521724926494612</v>
      </c>
      <c r="S393" s="32">
        <f>J393</f>
        <v>101013</v>
      </c>
      <c r="T393" s="3">
        <f t="shared" si="73"/>
        <v>0</v>
      </c>
      <c r="U393" s="1" t="s">
        <v>3615</v>
      </c>
      <c r="V393" s="16">
        <v>1</v>
      </c>
      <c r="W393" s="28">
        <f t="shared" si="75"/>
        <v>1</v>
      </c>
      <c r="X393" s="27">
        <f t="shared" si="74"/>
        <v>1</v>
      </c>
      <c r="Y393" s="18"/>
      <c r="Z393" s="19"/>
    </row>
    <row r="394" spans="1:26" x14ac:dyDescent="0.35">
      <c r="A394" s="29">
        <v>1</v>
      </c>
      <c r="B394" s="1" t="s">
        <v>3620</v>
      </c>
      <c r="C394" s="1"/>
      <c r="D394" s="1" t="s">
        <v>1436</v>
      </c>
      <c r="E394" s="1" t="s">
        <v>1437</v>
      </c>
      <c r="F394" s="1" t="s">
        <v>21</v>
      </c>
      <c r="G394" s="5" t="s">
        <v>1438</v>
      </c>
      <c r="H394" s="1" t="s">
        <v>17</v>
      </c>
      <c r="I394" s="2">
        <v>46086</v>
      </c>
      <c r="J394" s="33">
        <f t="shared" si="71"/>
        <v>100372</v>
      </c>
      <c r="K394" s="3">
        <v>9477</v>
      </c>
      <c r="L394" s="3">
        <v>82203</v>
      </c>
      <c r="M394" s="3">
        <v>7692</v>
      </c>
      <c r="N394" s="3">
        <v>0</v>
      </c>
      <c r="O394" s="3">
        <v>1000</v>
      </c>
      <c r="P394" s="1" t="s">
        <v>1439</v>
      </c>
      <c r="Q394" s="3">
        <v>306595</v>
      </c>
      <c r="R394" s="25">
        <f t="shared" si="72"/>
        <v>3.0545869365958636</v>
      </c>
      <c r="S394" s="32">
        <f>J394</f>
        <v>100372</v>
      </c>
      <c r="T394" s="3">
        <f t="shared" si="73"/>
        <v>0</v>
      </c>
      <c r="U394" s="1" t="s">
        <v>3615</v>
      </c>
      <c r="V394" s="16">
        <v>1</v>
      </c>
      <c r="W394" s="28">
        <f t="shared" si="75"/>
        <v>1</v>
      </c>
      <c r="X394" s="27">
        <f t="shared" si="74"/>
        <v>1</v>
      </c>
      <c r="Y394" s="18"/>
      <c r="Z394" s="19"/>
    </row>
    <row r="395" spans="1:26" x14ac:dyDescent="0.35">
      <c r="A395" s="29">
        <v>1</v>
      </c>
      <c r="B395" s="1" t="s">
        <v>3620</v>
      </c>
      <c r="C395" s="1"/>
      <c r="D395" s="1" t="s">
        <v>1718</v>
      </c>
      <c r="E395" s="1" t="s">
        <v>1719</v>
      </c>
      <c r="F395" s="1" t="s">
        <v>21</v>
      </c>
      <c r="G395" s="5" t="s">
        <v>1720</v>
      </c>
      <c r="H395" s="1" t="s">
        <v>17</v>
      </c>
      <c r="I395" s="2">
        <v>46086</v>
      </c>
      <c r="J395" s="33">
        <f t="shared" si="71"/>
        <v>101013</v>
      </c>
      <c r="K395" s="3">
        <v>11752</v>
      </c>
      <c r="L395" s="3">
        <v>79928</v>
      </c>
      <c r="M395" s="3">
        <v>8333</v>
      </c>
      <c r="N395" s="3">
        <v>0</v>
      </c>
      <c r="O395" s="3">
        <v>1000</v>
      </c>
      <c r="P395" s="1" t="s">
        <v>1721</v>
      </c>
      <c r="Q395" s="3">
        <v>59508</v>
      </c>
      <c r="R395" s="25">
        <f t="shared" si="72"/>
        <v>0.58911229247720587</v>
      </c>
      <c r="S395" s="32">
        <f>Q395</f>
        <v>59508</v>
      </c>
      <c r="T395" s="31">
        <f t="shared" si="73"/>
        <v>-41505</v>
      </c>
      <c r="U395" s="1" t="s">
        <v>3616</v>
      </c>
      <c r="V395" s="16"/>
      <c r="W395" s="30">
        <f t="shared" si="75"/>
        <v>0</v>
      </c>
      <c r="X395" s="27">
        <f t="shared" si="74"/>
        <v>0.58911229247720587</v>
      </c>
      <c r="Y395" s="18"/>
      <c r="Z395" s="19"/>
    </row>
    <row r="396" spans="1:26" x14ac:dyDescent="0.35">
      <c r="A396" s="29">
        <v>1</v>
      </c>
      <c r="B396" s="1" t="s">
        <v>3620</v>
      </c>
      <c r="C396" s="1"/>
      <c r="D396" s="1" t="s">
        <v>1788</v>
      </c>
      <c r="E396" s="1" t="s">
        <v>1789</v>
      </c>
      <c r="F396" s="1" t="s">
        <v>21</v>
      </c>
      <c r="G396" s="5" t="s">
        <v>1790</v>
      </c>
      <c r="H396" s="1" t="s">
        <v>17</v>
      </c>
      <c r="I396" s="2">
        <v>46086</v>
      </c>
      <c r="J396" s="33">
        <f t="shared" si="71"/>
        <v>251033</v>
      </c>
      <c r="K396" s="3">
        <v>23943</v>
      </c>
      <c r="L396" s="3">
        <v>205257</v>
      </c>
      <c r="M396" s="3">
        <v>20833</v>
      </c>
      <c r="N396" s="3">
        <v>0</v>
      </c>
      <c r="O396" s="3">
        <v>1000</v>
      </c>
      <c r="P396" s="1" t="s">
        <v>1791</v>
      </c>
      <c r="Q396" s="3">
        <v>224304</v>
      </c>
      <c r="R396" s="25">
        <f t="shared" si="72"/>
        <v>0.89352395900140624</v>
      </c>
      <c r="S396" s="32">
        <f>Q396</f>
        <v>224304</v>
      </c>
      <c r="T396" s="31">
        <f t="shared" si="73"/>
        <v>-26729</v>
      </c>
      <c r="U396" s="1" t="s">
        <v>3616</v>
      </c>
      <c r="V396" s="16"/>
      <c r="W396" s="30">
        <f t="shared" si="75"/>
        <v>0</v>
      </c>
      <c r="X396" s="27">
        <f t="shared" si="74"/>
        <v>0.89352395900140624</v>
      </c>
      <c r="Y396" s="18"/>
      <c r="Z396" s="19"/>
    </row>
    <row r="397" spans="1:26" x14ac:dyDescent="0.35">
      <c r="A397" s="29">
        <v>1</v>
      </c>
      <c r="B397" s="1" t="s">
        <v>3620</v>
      </c>
      <c r="C397" s="1"/>
      <c r="D397" s="1" t="s">
        <v>1726</v>
      </c>
      <c r="E397" s="1" t="s">
        <v>1727</v>
      </c>
      <c r="F397" s="1" t="s">
        <v>21</v>
      </c>
      <c r="G397" s="5" t="s">
        <v>1728</v>
      </c>
      <c r="H397" s="1" t="s">
        <v>17</v>
      </c>
      <c r="I397" s="2">
        <v>46086</v>
      </c>
      <c r="J397" s="33">
        <f t="shared" si="71"/>
        <v>61008</v>
      </c>
      <c r="K397" s="3">
        <v>7726</v>
      </c>
      <c r="L397" s="3">
        <v>47282</v>
      </c>
      <c r="M397" s="3">
        <v>5000</v>
      </c>
      <c r="N397" s="3">
        <v>0</v>
      </c>
      <c r="O397" s="3">
        <v>1000</v>
      </c>
      <c r="P397" s="1" t="s">
        <v>1729</v>
      </c>
      <c r="Q397" s="3">
        <v>130992</v>
      </c>
      <c r="R397" s="25">
        <f t="shared" si="72"/>
        <v>2.147128245476003</v>
      </c>
      <c r="S397" s="32">
        <f>J397</f>
        <v>61008</v>
      </c>
      <c r="T397" s="3">
        <f t="shared" si="73"/>
        <v>0</v>
      </c>
      <c r="U397" s="1" t="s">
        <v>3615</v>
      </c>
      <c r="V397" s="16">
        <v>1</v>
      </c>
      <c r="W397" s="28">
        <f t="shared" si="75"/>
        <v>1</v>
      </c>
      <c r="X397" s="27">
        <f t="shared" si="74"/>
        <v>1</v>
      </c>
      <c r="Y397" s="18"/>
      <c r="Z397" s="19"/>
    </row>
    <row r="398" spans="1:26" x14ac:dyDescent="0.35">
      <c r="A398" s="29">
        <v>1</v>
      </c>
      <c r="B398" s="1" t="s">
        <v>3620</v>
      </c>
      <c r="C398" s="1"/>
      <c r="D398" s="1" t="s">
        <v>1818</v>
      </c>
      <c r="E398" s="1" t="s">
        <v>1819</v>
      </c>
      <c r="F398" s="1" t="s">
        <v>21</v>
      </c>
      <c r="G398" s="5" t="s">
        <v>1820</v>
      </c>
      <c r="H398" s="1" t="s">
        <v>17</v>
      </c>
      <c r="I398" s="2">
        <v>46086</v>
      </c>
      <c r="J398" s="33">
        <f t="shared" si="71"/>
        <v>302470</v>
      </c>
      <c r="K398" s="3">
        <v>37047</v>
      </c>
      <c r="L398" s="3">
        <v>239423</v>
      </c>
      <c r="M398" s="3">
        <v>25000</v>
      </c>
      <c r="N398" s="3">
        <v>0</v>
      </c>
      <c r="O398" s="3">
        <v>1000</v>
      </c>
      <c r="P398" s="1" t="s">
        <v>1821</v>
      </c>
      <c r="Q398" s="3">
        <v>168027</v>
      </c>
      <c r="R398" s="25">
        <f t="shared" si="72"/>
        <v>0.55551624954540946</v>
      </c>
      <c r="S398" s="32">
        <f>Q398</f>
        <v>168027</v>
      </c>
      <c r="T398" s="31">
        <f t="shared" si="73"/>
        <v>-134443</v>
      </c>
      <c r="U398" s="1" t="s">
        <v>3616</v>
      </c>
      <c r="V398" s="16"/>
      <c r="W398" s="30">
        <f t="shared" si="75"/>
        <v>0</v>
      </c>
      <c r="X398" s="27">
        <f t="shared" si="74"/>
        <v>0.55551624954540946</v>
      </c>
      <c r="Y398" s="18"/>
      <c r="Z398" s="19"/>
    </row>
    <row r="399" spans="1:26" x14ac:dyDescent="0.35">
      <c r="A399" s="29">
        <v>1</v>
      </c>
      <c r="B399" s="1" t="s">
        <v>3620</v>
      </c>
      <c r="C399" s="1"/>
      <c r="D399" s="1" t="s">
        <v>1450</v>
      </c>
      <c r="E399" s="1" t="s">
        <v>1451</v>
      </c>
      <c r="F399" s="1" t="s">
        <v>21</v>
      </c>
      <c r="G399" s="5" t="s">
        <v>1452</v>
      </c>
      <c r="H399" s="1" t="s">
        <v>17</v>
      </c>
      <c r="I399" s="2">
        <v>46086</v>
      </c>
      <c r="J399" s="33">
        <f t="shared" si="71"/>
        <v>125850</v>
      </c>
      <c r="K399" s="3">
        <v>18745</v>
      </c>
      <c r="L399" s="3">
        <v>96105</v>
      </c>
      <c r="M399" s="3">
        <v>10000</v>
      </c>
      <c r="N399" s="3">
        <v>0</v>
      </c>
      <c r="O399" s="3">
        <v>1000</v>
      </c>
      <c r="P399" s="1" t="s">
        <v>1453</v>
      </c>
      <c r="Q399" s="3">
        <v>28738</v>
      </c>
      <c r="R399" s="25">
        <f t="shared" si="72"/>
        <v>0.22835121176003179</v>
      </c>
      <c r="S399" s="32">
        <f>Q399</f>
        <v>28738</v>
      </c>
      <c r="T399" s="31">
        <f t="shared" si="73"/>
        <v>-97112</v>
      </c>
      <c r="U399" s="1" t="s">
        <v>3616</v>
      </c>
      <c r="V399" s="16"/>
      <c r="W399" s="30">
        <f t="shared" si="75"/>
        <v>0</v>
      </c>
      <c r="X399" s="27">
        <f t="shared" si="74"/>
        <v>0.22835121176003179</v>
      </c>
      <c r="Y399" s="18"/>
      <c r="Z399" s="19"/>
    </row>
    <row r="400" spans="1:26" x14ac:dyDescent="0.35">
      <c r="A400" s="29">
        <v>1</v>
      </c>
      <c r="B400" s="1" t="s">
        <v>3620</v>
      </c>
      <c r="C400" s="1"/>
      <c r="D400" s="1" t="s">
        <v>1682</v>
      </c>
      <c r="E400" s="1" t="s">
        <v>1683</v>
      </c>
      <c r="F400" s="1" t="s">
        <v>21</v>
      </c>
      <c r="G400" s="5" t="s">
        <v>1684</v>
      </c>
      <c r="H400" s="1" t="s">
        <v>17</v>
      </c>
      <c r="I400" s="2">
        <v>46086</v>
      </c>
      <c r="J400" s="33">
        <f t="shared" si="71"/>
        <v>205028</v>
      </c>
      <c r="K400" s="3">
        <v>24161</v>
      </c>
      <c r="L400" s="3">
        <v>163200</v>
      </c>
      <c r="M400" s="3">
        <v>16667</v>
      </c>
      <c r="N400" s="3">
        <v>0</v>
      </c>
      <c r="O400" s="3">
        <v>1000</v>
      </c>
      <c r="P400" s="1" t="s">
        <v>1685</v>
      </c>
      <c r="Q400" s="3">
        <v>285436</v>
      </c>
      <c r="R400" s="25">
        <f t="shared" si="72"/>
        <v>1.3921805802134342</v>
      </c>
      <c r="S400" s="32">
        <f>J400</f>
        <v>205028</v>
      </c>
      <c r="T400" s="3">
        <f t="shared" si="73"/>
        <v>0</v>
      </c>
      <c r="U400" s="1" t="s">
        <v>3615</v>
      </c>
      <c r="V400" s="16">
        <v>1</v>
      </c>
      <c r="W400" s="28">
        <f t="shared" si="75"/>
        <v>1</v>
      </c>
      <c r="X400" s="27">
        <f t="shared" si="74"/>
        <v>1</v>
      </c>
      <c r="Y400" s="18"/>
      <c r="Z400" s="19"/>
    </row>
    <row r="401" spans="1:26" x14ac:dyDescent="0.35">
      <c r="A401" s="29">
        <v>1</v>
      </c>
      <c r="B401" s="1" t="s">
        <v>3620</v>
      </c>
      <c r="C401" s="1"/>
      <c r="D401" s="1" t="s">
        <v>1488</v>
      </c>
      <c r="E401" s="1" t="s">
        <v>1489</v>
      </c>
      <c r="F401" s="1" t="s">
        <v>21</v>
      </c>
      <c r="G401" s="5" t="s">
        <v>1490</v>
      </c>
      <c r="H401" s="1" t="s">
        <v>32</v>
      </c>
      <c r="I401" s="2">
        <v>46086</v>
      </c>
      <c r="J401" s="33">
        <f t="shared" si="71"/>
        <v>201980</v>
      </c>
      <c r="K401" s="3">
        <v>20246</v>
      </c>
      <c r="L401" s="3">
        <v>164067</v>
      </c>
      <c r="M401" s="3">
        <v>16667</v>
      </c>
      <c r="N401" s="3">
        <v>0</v>
      </c>
      <c r="O401" s="3">
        <v>1000</v>
      </c>
      <c r="P401" s="1" t="s">
        <v>1491</v>
      </c>
      <c r="Q401" s="3">
        <v>368748</v>
      </c>
      <c r="R401" s="25">
        <f t="shared" si="72"/>
        <v>1.8256659075155957</v>
      </c>
      <c r="S401" s="32">
        <f>J401</f>
        <v>201980</v>
      </c>
      <c r="T401" s="3">
        <f t="shared" si="73"/>
        <v>0</v>
      </c>
      <c r="U401" s="1" t="s">
        <v>3615</v>
      </c>
      <c r="V401" s="16">
        <v>1</v>
      </c>
      <c r="W401" s="28">
        <f t="shared" si="75"/>
        <v>1</v>
      </c>
      <c r="X401" s="27">
        <f t="shared" si="74"/>
        <v>1</v>
      </c>
      <c r="Y401" s="18"/>
      <c r="Z401" s="19"/>
    </row>
    <row r="402" spans="1:26" x14ac:dyDescent="0.35">
      <c r="A402" s="29">
        <v>1</v>
      </c>
      <c r="B402" s="1" t="s">
        <v>3620</v>
      </c>
      <c r="C402" s="1"/>
      <c r="D402" s="1" t="s">
        <v>1459</v>
      </c>
      <c r="E402" s="1" t="s">
        <v>1460</v>
      </c>
      <c r="F402" s="1" t="s">
        <v>21</v>
      </c>
      <c r="G402" s="5" t="s">
        <v>1461</v>
      </c>
      <c r="H402" s="1" t="s">
        <v>17</v>
      </c>
      <c r="I402" s="2">
        <v>46086</v>
      </c>
      <c r="J402" s="33">
        <f t="shared" si="71"/>
        <v>51007</v>
      </c>
      <c r="K402" s="3">
        <v>4806</v>
      </c>
      <c r="L402" s="3">
        <v>41034</v>
      </c>
      <c r="M402" s="3">
        <v>4167</v>
      </c>
      <c r="N402" s="3">
        <v>0</v>
      </c>
      <c r="O402" s="3">
        <v>1000</v>
      </c>
      <c r="P402" s="1" t="s">
        <v>1462</v>
      </c>
      <c r="Q402" s="3">
        <v>188640</v>
      </c>
      <c r="R402" s="25">
        <f t="shared" si="72"/>
        <v>3.6983159174230988</v>
      </c>
      <c r="S402" s="32">
        <f>J402</f>
        <v>51007</v>
      </c>
      <c r="T402" s="3">
        <f t="shared" si="73"/>
        <v>0</v>
      </c>
      <c r="U402" s="1" t="s">
        <v>3615</v>
      </c>
      <c r="V402" s="16">
        <v>1</v>
      </c>
      <c r="W402" s="28">
        <f t="shared" si="75"/>
        <v>1</v>
      </c>
      <c r="X402" s="27">
        <f t="shared" si="74"/>
        <v>1</v>
      </c>
      <c r="Y402" s="18"/>
      <c r="Z402" s="19"/>
    </row>
    <row r="403" spans="1:26" x14ac:dyDescent="0.35">
      <c r="A403" s="29">
        <v>1</v>
      </c>
      <c r="B403" s="1" t="s">
        <v>3620</v>
      </c>
      <c r="C403" s="1"/>
      <c r="D403" s="1" t="s">
        <v>1700</v>
      </c>
      <c r="E403" s="1" t="s">
        <v>1701</v>
      </c>
      <c r="F403" s="1" t="s">
        <v>21</v>
      </c>
      <c r="G403" s="5" t="s">
        <v>1702</v>
      </c>
      <c r="H403" s="1" t="s">
        <v>17</v>
      </c>
      <c r="I403" s="2">
        <v>46086</v>
      </c>
      <c r="J403" s="33">
        <f t="shared" si="71"/>
        <v>101490</v>
      </c>
      <c r="K403" s="3">
        <v>11205</v>
      </c>
      <c r="L403" s="3">
        <v>80952</v>
      </c>
      <c r="M403" s="3">
        <v>8333</v>
      </c>
      <c r="N403" s="3">
        <v>0</v>
      </c>
      <c r="O403" s="3">
        <v>1000</v>
      </c>
      <c r="P403" s="1" t="s">
        <v>1703</v>
      </c>
      <c r="Q403" s="3">
        <v>559529</v>
      </c>
      <c r="R403" s="25">
        <f t="shared" si="72"/>
        <v>5.513144152133215</v>
      </c>
      <c r="S403" s="32">
        <f>J403</f>
        <v>101490</v>
      </c>
      <c r="T403" s="3">
        <f t="shared" si="73"/>
        <v>0</v>
      </c>
      <c r="U403" s="1" t="s">
        <v>3615</v>
      </c>
      <c r="V403" s="16">
        <v>1</v>
      </c>
      <c r="W403" s="28">
        <f t="shared" si="75"/>
        <v>1</v>
      </c>
      <c r="X403" s="27">
        <f t="shared" si="74"/>
        <v>1</v>
      </c>
      <c r="Y403" s="18"/>
      <c r="Z403" s="19"/>
    </row>
    <row r="404" spans="1:26" x14ac:dyDescent="0.35">
      <c r="A404" s="29">
        <v>1</v>
      </c>
      <c r="B404" s="1" t="s">
        <v>3620</v>
      </c>
      <c r="C404" s="1"/>
      <c r="D404" s="1" t="s">
        <v>1580</v>
      </c>
      <c r="E404" s="1" t="s">
        <v>1581</v>
      </c>
      <c r="F404" s="1" t="s">
        <v>21</v>
      </c>
      <c r="G404" s="5" t="s">
        <v>1582</v>
      </c>
      <c r="H404" s="1" t="s">
        <v>17</v>
      </c>
      <c r="I404" s="2">
        <v>46086</v>
      </c>
      <c r="J404" s="33">
        <f t="shared" si="71"/>
        <v>151020</v>
      </c>
      <c r="K404" s="3">
        <v>15882</v>
      </c>
      <c r="L404" s="3">
        <v>121638</v>
      </c>
      <c r="M404" s="3">
        <v>12500</v>
      </c>
      <c r="N404" s="3">
        <v>0</v>
      </c>
      <c r="O404" s="3">
        <v>1000</v>
      </c>
      <c r="P404" s="1" t="s">
        <v>1583</v>
      </c>
      <c r="Q404" s="3">
        <v>39419</v>
      </c>
      <c r="R404" s="25">
        <f t="shared" si="72"/>
        <v>0.26101840815785987</v>
      </c>
      <c r="S404" s="32">
        <f>Q404</f>
        <v>39419</v>
      </c>
      <c r="T404" s="31">
        <f t="shared" si="73"/>
        <v>-111601</v>
      </c>
      <c r="U404" s="1" t="s">
        <v>3616</v>
      </c>
      <c r="V404" s="16"/>
      <c r="W404" s="30">
        <f t="shared" si="75"/>
        <v>0</v>
      </c>
      <c r="X404" s="27">
        <f t="shared" si="74"/>
        <v>0.26101840815785987</v>
      </c>
      <c r="Y404" s="18"/>
      <c r="Z404" s="19"/>
    </row>
    <row r="405" spans="1:26" x14ac:dyDescent="0.35">
      <c r="A405" s="29">
        <v>1</v>
      </c>
      <c r="B405" s="1" t="s">
        <v>3620</v>
      </c>
      <c r="C405" s="1"/>
      <c r="D405" s="1" t="s">
        <v>1709</v>
      </c>
      <c r="E405" s="1" t="s">
        <v>1710</v>
      </c>
      <c r="F405" s="1" t="s">
        <v>21</v>
      </c>
      <c r="G405" s="5" t="s">
        <v>1711</v>
      </c>
      <c r="H405" s="1" t="s">
        <v>624</v>
      </c>
      <c r="I405" s="2">
        <v>46086</v>
      </c>
      <c r="J405" s="33">
        <f t="shared" ref="J405:J436" si="76">SUM(K405:O405)</f>
        <v>151735</v>
      </c>
      <c r="K405" s="3">
        <v>18709</v>
      </c>
      <c r="L405" s="3">
        <v>119526</v>
      </c>
      <c r="M405" s="3">
        <v>12500</v>
      </c>
      <c r="N405" s="3">
        <v>0</v>
      </c>
      <c r="O405" s="3">
        <v>1000</v>
      </c>
      <c r="P405" s="1" t="s">
        <v>1712</v>
      </c>
      <c r="Q405" s="3">
        <v>364030</v>
      </c>
      <c r="R405" s="25">
        <f t="shared" ref="R405:R436" si="77">Q405/J405</f>
        <v>2.3991168814050812</v>
      </c>
      <c r="S405" s="32">
        <f>J405</f>
        <v>151735</v>
      </c>
      <c r="T405" s="3">
        <f t="shared" ref="T405:T436" si="78">S405-J405</f>
        <v>0</v>
      </c>
      <c r="U405" s="1" t="s">
        <v>3615</v>
      </c>
      <c r="V405" s="16">
        <v>1</v>
      </c>
      <c r="W405" s="28">
        <f t="shared" si="75"/>
        <v>1</v>
      </c>
      <c r="X405" s="27">
        <f t="shared" ref="X405:X418" si="79">S405/J405</f>
        <v>1</v>
      </c>
      <c r="Y405" s="18"/>
      <c r="Z405" s="19"/>
    </row>
    <row r="406" spans="1:26" x14ac:dyDescent="0.35">
      <c r="A406" s="29">
        <v>1</v>
      </c>
      <c r="B406" s="1" t="s">
        <v>3620</v>
      </c>
      <c r="C406" s="1"/>
      <c r="D406" s="1" t="s">
        <v>1796</v>
      </c>
      <c r="E406" s="1" t="s">
        <v>1797</v>
      </c>
      <c r="F406" s="1" t="s">
        <v>21</v>
      </c>
      <c r="G406" s="5" t="s">
        <v>1798</v>
      </c>
      <c r="H406" s="1" t="s">
        <v>17</v>
      </c>
      <c r="I406" s="2">
        <v>46086</v>
      </c>
      <c r="J406" s="33">
        <f t="shared" si="76"/>
        <v>51007</v>
      </c>
      <c r="K406" s="3">
        <v>5312</v>
      </c>
      <c r="L406" s="3">
        <v>40528</v>
      </c>
      <c r="M406" s="3">
        <v>4167</v>
      </c>
      <c r="N406" s="3">
        <v>0</v>
      </c>
      <c r="O406" s="3">
        <v>1000</v>
      </c>
      <c r="P406" s="1" t="s">
        <v>1799</v>
      </c>
      <c r="Q406" s="3">
        <v>47952</v>
      </c>
      <c r="R406" s="25">
        <f t="shared" si="77"/>
        <v>0.94010625992510832</v>
      </c>
      <c r="S406" s="32">
        <f>Q406</f>
        <v>47952</v>
      </c>
      <c r="T406" s="31">
        <f t="shared" si="78"/>
        <v>-3055</v>
      </c>
      <c r="U406" s="1" t="s">
        <v>3616</v>
      </c>
      <c r="V406" s="16"/>
      <c r="W406" s="30">
        <f t="shared" si="75"/>
        <v>0</v>
      </c>
      <c r="X406" s="27">
        <f t="shared" si="79"/>
        <v>0.94010625992510832</v>
      </c>
      <c r="Y406" s="18"/>
      <c r="Z406" s="19"/>
    </row>
    <row r="407" spans="1:26" x14ac:dyDescent="0.35">
      <c r="A407" s="29">
        <v>1</v>
      </c>
      <c r="B407" s="1" t="s">
        <v>3620</v>
      </c>
      <c r="C407" s="1"/>
      <c r="D407" s="1" t="s">
        <v>1766</v>
      </c>
      <c r="E407" s="1" t="s">
        <v>1767</v>
      </c>
      <c r="F407" s="1" t="s">
        <v>21</v>
      </c>
      <c r="G407" s="5" t="s">
        <v>1768</v>
      </c>
      <c r="H407" s="1" t="s">
        <v>17</v>
      </c>
      <c r="I407" s="2">
        <v>46086</v>
      </c>
      <c r="J407" s="33">
        <f t="shared" si="76"/>
        <v>31004</v>
      </c>
      <c r="K407" s="3">
        <v>3861</v>
      </c>
      <c r="L407" s="3">
        <v>23643</v>
      </c>
      <c r="M407" s="3">
        <v>2500</v>
      </c>
      <c r="N407" s="3">
        <v>0</v>
      </c>
      <c r="O407" s="3">
        <v>1000</v>
      </c>
      <c r="P407" s="1" t="s">
        <v>1769</v>
      </c>
      <c r="Q407" s="3">
        <v>91996</v>
      </c>
      <c r="R407" s="25">
        <f t="shared" si="77"/>
        <v>2.9672300348342149</v>
      </c>
      <c r="S407" s="32">
        <f>J407</f>
        <v>31004</v>
      </c>
      <c r="T407" s="3">
        <f t="shared" si="78"/>
        <v>0</v>
      </c>
      <c r="U407" s="1" t="s">
        <v>3615</v>
      </c>
      <c r="V407" s="16">
        <v>1</v>
      </c>
      <c r="W407" s="28">
        <f t="shared" si="75"/>
        <v>1</v>
      </c>
      <c r="X407" s="27">
        <f t="shared" si="79"/>
        <v>1</v>
      </c>
      <c r="Y407" s="18"/>
      <c r="Z407" s="19"/>
    </row>
    <row r="408" spans="1:26" x14ac:dyDescent="0.35">
      <c r="A408" s="29">
        <v>1</v>
      </c>
      <c r="B408" s="1" t="s">
        <v>3620</v>
      </c>
      <c r="C408" s="1"/>
      <c r="D408" s="1" t="s">
        <v>1722</v>
      </c>
      <c r="E408" s="1" t="s">
        <v>1723</v>
      </c>
      <c r="F408" s="1" t="s">
        <v>21</v>
      </c>
      <c r="G408" s="5" t="s">
        <v>1724</v>
      </c>
      <c r="H408" s="1" t="s">
        <v>17</v>
      </c>
      <c r="I408" s="2">
        <v>46086</v>
      </c>
      <c r="J408" s="33">
        <f t="shared" si="76"/>
        <v>51007</v>
      </c>
      <c r="K408" s="3">
        <v>5845</v>
      </c>
      <c r="L408" s="3">
        <v>39995</v>
      </c>
      <c r="M408" s="3">
        <v>4167</v>
      </c>
      <c r="N408" s="3">
        <v>0</v>
      </c>
      <c r="O408" s="3">
        <v>1000</v>
      </c>
      <c r="P408" s="1" t="s">
        <v>1725</v>
      </c>
      <c r="Q408" s="3">
        <v>77986</v>
      </c>
      <c r="R408" s="25">
        <f t="shared" si="77"/>
        <v>1.5289274021212775</v>
      </c>
      <c r="S408" s="32">
        <f>J408</f>
        <v>51007</v>
      </c>
      <c r="T408" s="3">
        <f t="shared" si="78"/>
        <v>0</v>
      </c>
      <c r="U408" s="1" t="s">
        <v>3615</v>
      </c>
      <c r="V408" s="16">
        <v>1</v>
      </c>
      <c r="W408" s="28">
        <f t="shared" si="75"/>
        <v>1</v>
      </c>
      <c r="X408" s="27">
        <f t="shared" si="79"/>
        <v>1</v>
      </c>
      <c r="Y408" s="18"/>
      <c r="Z408" s="19"/>
    </row>
    <row r="409" spans="1:26" x14ac:dyDescent="0.35">
      <c r="A409" s="29">
        <v>1</v>
      </c>
      <c r="B409" s="1" t="s">
        <v>3620</v>
      </c>
      <c r="C409" s="1"/>
      <c r="D409" s="1" t="s">
        <v>1804</v>
      </c>
      <c r="E409" s="1" t="s">
        <v>1805</v>
      </c>
      <c r="F409" s="1" t="s">
        <v>21</v>
      </c>
      <c r="G409" s="5" t="s">
        <v>1806</v>
      </c>
      <c r="H409" s="1" t="s">
        <v>17</v>
      </c>
      <c r="I409" s="2">
        <v>46086</v>
      </c>
      <c r="J409" s="33">
        <f t="shared" si="76"/>
        <v>51007</v>
      </c>
      <c r="K409" s="3">
        <v>5903</v>
      </c>
      <c r="L409" s="3">
        <v>39937</v>
      </c>
      <c r="M409" s="3">
        <v>4167</v>
      </c>
      <c r="N409" s="3">
        <v>0</v>
      </c>
      <c r="O409" s="3">
        <v>1000</v>
      </c>
      <c r="P409" s="1" t="s">
        <v>1807</v>
      </c>
      <c r="Q409" s="3">
        <v>76986</v>
      </c>
      <c r="R409" s="25">
        <f t="shared" si="77"/>
        <v>1.5093222498872705</v>
      </c>
      <c r="S409" s="32">
        <f>J409</f>
        <v>51007</v>
      </c>
      <c r="T409" s="3">
        <f t="shared" si="78"/>
        <v>0</v>
      </c>
      <c r="U409" s="1" t="s">
        <v>3615</v>
      </c>
      <c r="V409" s="16">
        <v>1</v>
      </c>
      <c r="W409" s="28">
        <f t="shared" si="75"/>
        <v>1</v>
      </c>
      <c r="X409" s="27">
        <f t="shared" si="79"/>
        <v>1</v>
      </c>
      <c r="Y409" s="18"/>
      <c r="Z409" s="19"/>
    </row>
    <row r="410" spans="1:26" x14ac:dyDescent="0.35">
      <c r="A410" s="29">
        <v>1</v>
      </c>
      <c r="B410" s="1" t="s">
        <v>3620</v>
      </c>
      <c r="C410" s="1"/>
      <c r="D410" s="1" t="s">
        <v>1800</v>
      </c>
      <c r="E410" s="1" t="s">
        <v>1801</v>
      </c>
      <c r="F410" s="1" t="s">
        <v>21</v>
      </c>
      <c r="G410" s="5" t="s">
        <v>1802</v>
      </c>
      <c r="H410" s="1" t="s">
        <v>467</v>
      </c>
      <c r="I410" s="2">
        <v>46086</v>
      </c>
      <c r="J410" s="33">
        <f t="shared" si="76"/>
        <v>32816</v>
      </c>
      <c r="K410" s="3">
        <v>2131</v>
      </c>
      <c r="L410" s="3">
        <v>29685</v>
      </c>
      <c r="M410" s="3">
        <v>0</v>
      </c>
      <c r="N410" s="3">
        <v>0</v>
      </c>
      <c r="O410" s="3">
        <v>1000</v>
      </c>
      <c r="P410" s="1" t="s">
        <v>1803</v>
      </c>
      <c r="Q410" s="3">
        <v>11542</v>
      </c>
      <c r="R410" s="25">
        <f t="shared" si="77"/>
        <v>0.35171867381764993</v>
      </c>
      <c r="S410" s="32">
        <f>Q410</f>
        <v>11542</v>
      </c>
      <c r="T410" s="31">
        <f t="shared" si="78"/>
        <v>-21274</v>
      </c>
      <c r="U410" s="1" t="s">
        <v>3616</v>
      </c>
      <c r="V410" s="16"/>
      <c r="W410" s="30">
        <f t="shared" si="75"/>
        <v>0</v>
      </c>
      <c r="X410" s="27">
        <f t="shared" si="79"/>
        <v>0.35171867381764993</v>
      </c>
      <c r="Y410" s="18"/>
      <c r="Z410" s="19"/>
    </row>
    <row r="411" spans="1:26" x14ac:dyDescent="0.35">
      <c r="A411" s="29">
        <v>1</v>
      </c>
      <c r="B411" s="1" t="s">
        <v>3620</v>
      </c>
      <c r="C411" s="1"/>
      <c r="D411" s="1" t="s">
        <v>1792</v>
      </c>
      <c r="E411" s="1" t="s">
        <v>1793</v>
      </c>
      <c r="F411" s="1" t="s">
        <v>21</v>
      </c>
      <c r="G411" s="5" t="s">
        <v>1794</v>
      </c>
      <c r="H411" s="1" t="s">
        <v>17</v>
      </c>
      <c r="I411" s="2">
        <v>46086</v>
      </c>
      <c r="J411" s="33">
        <f t="shared" si="76"/>
        <v>101013</v>
      </c>
      <c r="K411" s="3">
        <v>10623</v>
      </c>
      <c r="L411" s="3">
        <v>81057</v>
      </c>
      <c r="M411" s="3">
        <v>8333</v>
      </c>
      <c r="N411" s="3">
        <v>0</v>
      </c>
      <c r="O411" s="3">
        <v>1000</v>
      </c>
      <c r="P411" s="1" t="s">
        <v>1795</v>
      </c>
      <c r="Q411" s="3">
        <v>9926</v>
      </c>
      <c r="R411" s="25">
        <f t="shared" si="77"/>
        <v>9.8264579806559546E-2</v>
      </c>
      <c r="S411" s="32">
        <f>Q411</f>
        <v>9926</v>
      </c>
      <c r="T411" s="31">
        <f t="shared" si="78"/>
        <v>-91087</v>
      </c>
      <c r="U411" s="1" t="s">
        <v>3616</v>
      </c>
      <c r="V411" s="16"/>
      <c r="W411" s="30">
        <f t="shared" si="75"/>
        <v>0</v>
      </c>
      <c r="X411" s="27">
        <f t="shared" si="79"/>
        <v>9.8264579806559546E-2</v>
      </c>
      <c r="Y411" s="18"/>
      <c r="Z411" s="19"/>
    </row>
    <row r="412" spans="1:26" x14ac:dyDescent="0.35">
      <c r="A412" s="29">
        <v>1</v>
      </c>
      <c r="B412" s="1" t="s">
        <v>3620</v>
      </c>
      <c r="C412" s="1"/>
      <c r="D412" s="1" t="s">
        <v>1735</v>
      </c>
      <c r="E412" s="1" t="s">
        <v>1736</v>
      </c>
      <c r="F412" s="1" t="s">
        <v>21</v>
      </c>
      <c r="G412" s="5" t="s">
        <v>1737</v>
      </c>
      <c r="H412" s="1" t="s">
        <v>17</v>
      </c>
      <c r="I412" s="2">
        <v>46086</v>
      </c>
      <c r="J412" s="33">
        <f t="shared" si="76"/>
        <v>41805</v>
      </c>
      <c r="K412" s="3">
        <v>6550</v>
      </c>
      <c r="L412" s="3">
        <v>30922</v>
      </c>
      <c r="M412" s="3">
        <v>3333</v>
      </c>
      <c r="N412" s="3">
        <v>0</v>
      </c>
      <c r="O412" s="3">
        <v>1000</v>
      </c>
      <c r="P412" s="1" t="s">
        <v>1738</v>
      </c>
      <c r="Q412" s="3">
        <v>114195</v>
      </c>
      <c r="R412" s="25">
        <f t="shared" si="77"/>
        <v>2.7316110513096521</v>
      </c>
      <c r="S412" s="32">
        <f t="shared" ref="S412:S418" si="80">J412</f>
        <v>41805</v>
      </c>
      <c r="T412" s="3">
        <f t="shared" si="78"/>
        <v>0</v>
      </c>
      <c r="U412" s="1" t="s">
        <v>3615</v>
      </c>
      <c r="V412" s="16">
        <v>1</v>
      </c>
      <c r="W412" s="28">
        <f t="shared" si="75"/>
        <v>1</v>
      </c>
      <c r="X412" s="27">
        <f t="shared" si="79"/>
        <v>1</v>
      </c>
      <c r="Y412" s="18"/>
      <c r="Z412" s="19"/>
    </row>
    <row r="413" spans="1:26" x14ac:dyDescent="0.35">
      <c r="A413" s="29">
        <v>1</v>
      </c>
      <c r="B413" s="1" t="s">
        <v>3620</v>
      </c>
      <c r="C413" s="1"/>
      <c r="D413" s="1" t="s">
        <v>1842</v>
      </c>
      <c r="E413" s="1" t="s">
        <v>1843</v>
      </c>
      <c r="F413" s="1" t="s">
        <v>21</v>
      </c>
      <c r="G413" s="5" t="s">
        <v>1844</v>
      </c>
      <c r="H413" s="1" t="s">
        <v>17</v>
      </c>
      <c r="I413" s="2">
        <v>46086</v>
      </c>
      <c r="J413" s="33">
        <f t="shared" si="76"/>
        <v>51245</v>
      </c>
      <c r="K413" s="3">
        <v>9110</v>
      </c>
      <c r="L413" s="3">
        <v>36968</v>
      </c>
      <c r="M413" s="3">
        <v>4167</v>
      </c>
      <c r="N413" s="3">
        <v>0</v>
      </c>
      <c r="O413" s="3">
        <v>1000</v>
      </c>
      <c r="P413" s="1" t="s">
        <v>1845</v>
      </c>
      <c r="Q413" s="3">
        <v>101000</v>
      </c>
      <c r="R413" s="25">
        <f t="shared" si="77"/>
        <v>1.9709239925846425</v>
      </c>
      <c r="S413" s="32">
        <f t="shared" si="80"/>
        <v>51245</v>
      </c>
      <c r="T413" s="3">
        <f t="shared" si="78"/>
        <v>0</v>
      </c>
      <c r="U413" s="1" t="s">
        <v>3615</v>
      </c>
      <c r="V413" s="16">
        <v>1</v>
      </c>
      <c r="W413" s="28">
        <f t="shared" si="75"/>
        <v>1</v>
      </c>
      <c r="X413" s="27">
        <f t="shared" si="79"/>
        <v>1</v>
      </c>
      <c r="Y413" s="18"/>
      <c r="Z413" s="19"/>
    </row>
    <row r="414" spans="1:26" x14ac:dyDescent="0.35">
      <c r="A414" s="29">
        <v>1</v>
      </c>
      <c r="B414" s="1" t="s">
        <v>3620</v>
      </c>
      <c r="C414" s="1"/>
      <c r="D414" s="1" t="s">
        <v>1770</v>
      </c>
      <c r="E414" s="1" t="s">
        <v>1771</v>
      </c>
      <c r="F414" s="1" t="s">
        <v>21</v>
      </c>
      <c r="G414" s="5" t="s">
        <v>1772</v>
      </c>
      <c r="H414" s="1" t="s">
        <v>17</v>
      </c>
      <c r="I414" s="2">
        <v>46086</v>
      </c>
      <c r="J414" s="33">
        <f t="shared" si="76"/>
        <v>21003</v>
      </c>
      <c r="K414" s="3">
        <v>2574</v>
      </c>
      <c r="L414" s="3">
        <v>15762</v>
      </c>
      <c r="M414" s="3">
        <v>1667</v>
      </c>
      <c r="N414" s="3">
        <v>0</v>
      </c>
      <c r="O414" s="3">
        <v>1000</v>
      </c>
      <c r="P414" s="1" t="s">
        <v>1773</v>
      </c>
      <c r="Q414" s="3">
        <v>111997</v>
      </c>
      <c r="R414" s="25">
        <f t="shared" si="77"/>
        <v>5.3324287006618105</v>
      </c>
      <c r="S414" s="32">
        <f t="shared" si="80"/>
        <v>21003</v>
      </c>
      <c r="T414" s="3">
        <f t="shared" si="78"/>
        <v>0</v>
      </c>
      <c r="U414" s="1" t="s">
        <v>3615</v>
      </c>
      <c r="V414" s="16">
        <v>1</v>
      </c>
      <c r="W414" s="28">
        <f t="shared" si="75"/>
        <v>1</v>
      </c>
      <c r="X414" s="27">
        <f t="shared" si="79"/>
        <v>1</v>
      </c>
      <c r="Y414" s="18"/>
      <c r="Z414" s="19"/>
    </row>
    <row r="415" spans="1:26" x14ac:dyDescent="0.35">
      <c r="A415" s="29">
        <v>1</v>
      </c>
      <c r="B415" s="1" t="s">
        <v>3620</v>
      </c>
      <c r="C415" s="1"/>
      <c r="D415" s="1" t="s">
        <v>1744</v>
      </c>
      <c r="E415" s="1" t="s">
        <v>1745</v>
      </c>
      <c r="F415" s="1" t="s">
        <v>21</v>
      </c>
      <c r="G415" s="5" t="s">
        <v>1746</v>
      </c>
      <c r="H415" s="1" t="s">
        <v>17</v>
      </c>
      <c r="I415" s="2">
        <v>46086</v>
      </c>
      <c r="J415" s="33">
        <f t="shared" si="76"/>
        <v>41005</v>
      </c>
      <c r="K415" s="3">
        <v>5148</v>
      </c>
      <c r="L415" s="3">
        <v>31524</v>
      </c>
      <c r="M415" s="3">
        <v>3333</v>
      </c>
      <c r="N415" s="3">
        <v>0</v>
      </c>
      <c r="O415" s="3">
        <v>1000</v>
      </c>
      <c r="P415" s="1" t="s">
        <v>1747</v>
      </c>
      <c r="Q415" s="3">
        <v>60995</v>
      </c>
      <c r="R415" s="25">
        <f t="shared" si="77"/>
        <v>1.4875015242043652</v>
      </c>
      <c r="S415" s="32">
        <f t="shared" si="80"/>
        <v>41005</v>
      </c>
      <c r="T415" s="3">
        <f t="shared" si="78"/>
        <v>0</v>
      </c>
      <c r="U415" s="1" t="s">
        <v>3615</v>
      </c>
      <c r="V415" s="16">
        <v>1</v>
      </c>
      <c r="W415" s="28">
        <f t="shared" si="75"/>
        <v>1</v>
      </c>
      <c r="X415" s="27">
        <f t="shared" si="79"/>
        <v>1</v>
      </c>
      <c r="Y415" s="18"/>
      <c r="Z415" s="19"/>
    </row>
    <row r="416" spans="1:26" x14ac:dyDescent="0.35">
      <c r="A416" s="29">
        <v>1</v>
      </c>
      <c r="B416" s="1" t="s">
        <v>3620</v>
      </c>
      <c r="C416" s="1"/>
      <c r="D416" s="1" t="s">
        <v>1526</v>
      </c>
      <c r="E416" s="1" t="s">
        <v>1527</v>
      </c>
      <c r="F416" s="1" t="s">
        <v>21</v>
      </c>
      <c r="G416" s="5" t="s">
        <v>1528</v>
      </c>
      <c r="H416" s="1" t="s">
        <v>17</v>
      </c>
      <c r="I416" s="2">
        <v>46086</v>
      </c>
      <c r="J416" s="33">
        <f t="shared" si="76"/>
        <v>41005</v>
      </c>
      <c r="K416" s="3">
        <v>6904</v>
      </c>
      <c r="L416" s="3">
        <v>29768</v>
      </c>
      <c r="M416" s="3">
        <v>3333</v>
      </c>
      <c r="N416" s="3">
        <v>0</v>
      </c>
      <c r="O416" s="3">
        <v>1000</v>
      </c>
      <c r="P416" s="1" t="s">
        <v>1529</v>
      </c>
      <c r="Q416" s="3">
        <v>78000</v>
      </c>
      <c r="R416" s="25">
        <f t="shared" si="77"/>
        <v>1.9022070479209852</v>
      </c>
      <c r="S416" s="32">
        <f t="shared" si="80"/>
        <v>41005</v>
      </c>
      <c r="T416" s="3">
        <f t="shared" si="78"/>
        <v>0</v>
      </c>
      <c r="U416" s="1" t="s">
        <v>3615</v>
      </c>
      <c r="V416" s="16">
        <v>1</v>
      </c>
      <c r="W416" s="28">
        <f t="shared" si="75"/>
        <v>1</v>
      </c>
      <c r="X416" s="27">
        <f t="shared" si="79"/>
        <v>1</v>
      </c>
      <c r="Y416" s="18"/>
      <c r="Z416" s="19"/>
    </row>
    <row r="417" spans="1:26" x14ac:dyDescent="0.35">
      <c r="A417" s="29">
        <v>1</v>
      </c>
      <c r="B417" s="1" t="s">
        <v>3620</v>
      </c>
      <c r="C417" s="1"/>
      <c r="D417" s="1" t="s">
        <v>1618</v>
      </c>
      <c r="E417" s="1" t="s">
        <v>1619</v>
      </c>
      <c r="F417" s="1" t="s">
        <v>21</v>
      </c>
      <c r="G417" s="5" t="s">
        <v>1620</v>
      </c>
      <c r="H417" s="1" t="s">
        <v>17</v>
      </c>
      <c r="I417" s="2">
        <v>46086</v>
      </c>
      <c r="J417" s="33">
        <f t="shared" si="76"/>
        <v>70362</v>
      </c>
      <c r="K417" s="3">
        <v>13254</v>
      </c>
      <c r="L417" s="3">
        <v>50552</v>
      </c>
      <c r="M417" s="3">
        <v>5556</v>
      </c>
      <c r="N417" s="3">
        <v>0</v>
      </c>
      <c r="O417" s="3">
        <v>1000</v>
      </c>
      <c r="P417" s="1" t="s">
        <v>1621</v>
      </c>
      <c r="Q417" s="3">
        <v>281194</v>
      </c>
      <c r="R417" s="25">
        <f t="shared" si="77"/>
        <v>3.9963900969273185</v>
      </c>
      <c r="S417" s="32">
        <f t="shared" si="80"/>
        <v>70362</v>
      </c>
      <c r="T417" s="3">
        <f t="shared" si="78"/>
        <v>0</v>
      </c>
      <c r="U417" s="1" t="s">
        <v>3615</v>
      </c>
      <c r="V417" s="16">
        <v>1</v>
      </c>
      <c r="W417" s="28">
        <f t="shared" si="75"/>
        <v>1</v>
      </c>
      <c r="X417" s="27">
        <f t="shared" si="79"/>
        <v>1</v>
      </c>
      <c r="Y417" s="18"/>
      <c r="Z417" s="19"/>
    </row>
    <row r="418" spans="1:26" x14ac:dyDescent="0.35">
      <c r="A418" s="29">
        <v>1</v>
      </c>
      <c r="B418" s="1" t="s">
        <v>3620</v>
      </c>
      <c r="C418" s="1"/>
      <c r="D418" s="1" t="s">
        <v>1748</v>
      </c>
      <c r="E418" s="1" t="s">
        <v>1749</v>
      </c>
      <c r="F418" s="1" t="s">
        <v>21</v>
      </c>
      <c r="G418" s="5" t="s">
        <v>1750</v>
      </c>
      <c r="H418" s="1" t="s">
        <v>17</v>
      </c>
      <c r="I418" s="2">
        <v>46086</v>
      </c>
      <c r="J418" s="33">
        <f t="shared" si="76"/>
        <v>101013</v>
      </c>
      <c r="K418" s="3">
        <v>12869</v>
      </c>
      <c r="L418" s="3">
        <v>78811</v>
      </c>
      <c r="M418" s="3">
        <v>8333</v>
      </c>
      <c r="N418" s="3">
        <v>0</v>
      </c>
      <c r="O418" s="3">
        <v>1000</v>
      </c>
      <c r="P418" s="1" t="s">
        <v>1751</v>
      </c>
      <c r="Q418" s="3">
        <v>169987</v>
      </c>
      <c r="R418" s="25">
        <f t="shared" si="77"/>
        <v>1.6828230029798146</v>
      </c>
      <c r="S418" s="32">
        <f t="shared" si="80"/>
        <v>101013</v>
      </c>
      <c r="T418" s="3">
        <f t="shared" si="78"/>
        <v>0</v>
      </c>
      <c r="U418" s="1" t="s">
        <v>3615</v>
      </c>
      <c r="V418" s="16">
        <v>1</v>
      </c>
      <c r="W418" s="28">
        <f t="shared" si="75"/>
        <v>1</v>
      </c>
      <c r="X418" s="27">
        <f t="shared" si="79"/>
        <v>1</v>
      </c>
      <c r="Y418" s="18"/>
      <c r="Z418" s="19"/>
    </row>
    <row r="419" spans="1:26" s="40" customFormat="1" ht="15" thickBot="1" x14ac:dyDescent="0.4">
      <c r="A419" s="34">
        <f>SUM(A309:A418)</f>
        <v>110</v>
      </c>
      <c r="B419" s="73" t="s">
        <v>3632</v>
      </c>
      <c r="C419" s="73"/>
      <c r="D419" s="73"/>
      <c r="E419" s="73"/>
      <c r="F419" s="73"/>
      <c r="G419" s="73"/>
      <c r="H419" s="73"/>
      <c r="I419" s="73"/>
      <c r="J419" s="35">
        <f>SUM(J309:J418)</f>
        <v>13053262</v>
      </c>
      <c r="K419" s="36">
        <f t="shared" ref="K419:V419" si="81">SUM(K309:K418)</f>
        <v>1595865</v>
      </c>
      <c r="L419" s="36">
        <f t="shared" si="81"/>
        <v>10313347</v>
      </c>
      <c r="M419" s="36">
        <f t="shared" si="81"/>
        <v>1034050</v>
      </c>
      <c r="N419" s="36">
        <f t="shared" si="81"/>
        <v>0</v>
      </c>
      <c r="O419" s="36">
        <f t="shared" si="81"/>
        <v>110000</v>
      </c>
      <c r="P419" s="36">
        <f t="shared" si="81"/>
        <v>0</v>
      </c>
      <c r="Q419" s="36">
        <f t="shared" si="81"/>
        <v>33678829</v>
      </c>
      <c r="R419" s="36"/>
      <c r="S419" s="45">
        <f t="shared" si="81"/>
        <v>11081003</v>
      </c>
      <c r="T419" s="37">
        <f t="shared" si="81"/>
        <v>-1972259</v>
      </c>
      <c r="U419" s="35">
        <f t="shared" si="81"/>
        <v>0</v>
      </c>
      <c r="V419" s="35">
        <f t="shared" si="81"/>
        <v>83</v>
      </c>
      <c r="W419" s="38">
        <f t="shared" si="75"/>
        <v>0.75454545454545452</v>
      </c>
      <c r="X419" s="39">
        <f t="shared" ref="X419" si="82">S419/J419</f>
        <v>0.8489068096541692</v>
      </c>
    </row>
    <row r="420" spans="1:26" x14ac:dyDescent="0.35">
      <c r="A420" s="29">
        <v>1</v>
      </c>
      <c r="B420" s="1" t="s">
        <v>3621</v>
      </c>
      <c r="C420" s="1"/>
      <c r="D420" s="1" t="s">
        <v>2208</v>
      </c>
      <c r="E420" s="1" t="s">
        <v>2209</v>
      </c>
      <c r="F420" s="1" t="s">
        <v>2210</v>
      </c>
      <c r="G420" s="5" t="s">
        <v>2211</v>
      </c>
      <c r="H420" s="1" t="s">
        <v>17</v>
      </c>
      <c r="I420" s="2">
        <v>46086</v>
      </c>
      <c r="J420" s="33">
        <f t="shared" ref="J420:J451" si="83">SUM(K420:O420)</f>
        <v>82194</v>
      </c>
      <c r="K420" s="3">
        <v>13808</v>
      </c>
      <c r="L420" s="3">
        <v>61136</v>
      </c>
      <c r="M420" s="3">
        <v>6250</v>
      </c>
      <c r="N420" s="3">
        <v>0</v>
      </c>
      <c r="O420" s="3">
        <v>1000</v>
      </c>
      <c r="P420" s="1" t="s">
        <v>2212</v>
      </c>
      <c r="Q420" s="3">
        <v>99249</v>
      </c>
      <c r="R420" s="25">
        <f t="shared" ref="R420:R451" si="84">Q420/J420</f>
        <v>1.2074968975837652</v>
      </c>
      <c r="S420" s="32">
        <f>J420</f>
        <v>82194</v>
      </c>
      <c r="T420" s="3">
        <f t="shared" ref="T420:T451" si="85">S420-J420</f>
        <v>0</v>
      </c>
      <c r="U420" s="1" t="s">
        <v>3615</v>
      </c>
      <c r="V420" s="16">
        <v>1</v>
      </c>
      <c r="W420" s="28">
        <f t="shared" si="75"/>
        <v>1</v>
      </c>
      <c r="X420" s="27">
        <f t="shared" ref="X420:X451" si="86">S420/J420</f>
        <v>1</v>
      </c>
      <c r="Y420" s="18"/>
      <c r="Z420" s="19"/>
    </row>
    <row r="421" spans="1:26" x14ac:dyDescent="0.35">
      <c r="A421" s="29">
        <v>1</v>
      </c>
      <c r="B421" s="1" t="s">
        <v>3621</v>
      </c>
      <c r="C421" s="1"/>
      <c r="D421" s="1" t="s">
        <v>2213</v>
      </c>
      <c r="E421" s="1" t="s">
        <v>2214</v>
      </c>
      <c r="F421" s="1" t="s">
        <v>2215</v>
      </c>
      <c r="G421" s="5" t="s">
        <v>2216</v>
      </c>
      <c r="H421" s="1" t="s">
        <v>17</v>
      </c>
      <c r="I421" s="2">
        <v>46086</v>
      </c>
      <c r="J421" s="33">
        <f t="shared" si="83"/>
        <v>82194</v>
      </c>
      <c r="K421" s="3">
        <v>13808</v>
      </c>
      <c r="L421" s="3">
        <v>61136</v>
      </c>
      <c r="M421" s="3">
        <v>6250</v>
      </c>
      <c r="N421" s="3">
        <v>0</v>
      </c>
      <c r="O421" s="3">
        <v>1000</v>
      </c>
      <c r="P421" s="1" t="s">
        <v>2217</v>
      </c>
      <c r="Q421" s="3">
        <v>199065</v>
      </c>
      <c r="R421" s="25">
        <f t="shared" si="84"/>
        <v>2.4218921089130592</v>
      </c>
      <c r="S421" s="32">
        <f>J421</f>
        <v>82194</v>
      </c>
      <c r="T421" s="3">
        <f t="shared" si="85"/>
        <v>0</v>
      </c>
      <c r="U421" s="1" t="s">
        <v>3615</v>
      </c>
      <c r="V421" s="16">
        <v>1</v>
      </c>
      <c r="W421" s="28">
        <f t="shared" si="75"/>
        <v>1</v>
      </c>
      <c r="X421" s="27">
        <f t="shared" si="86"/>
        <v>1</v>
      </c>
      <c r="Y421" s="18"/>
      <c r="Z421" s="19"/>
    </row>
    <row r="422" spans="1:26" x14ac:dyDescent="0.35">
      <c r="A422" s="29">
        <v>1</v>
      </c>
      <c r="B422" s="1" t="s">
        <v>3621</v>
      </c>
      <c r="C422" s="1"/>
      <c r="D422" s="1" t="s">
        <v>2231</v>
      </c>
      <c r="E422" s="1" t="s">
        <v>2232</v>
      </c>
      <c r="F422" s="1" t="s">
        <v>2233</v>
      </c>
      <c r="G422" s="5" t="s">
        <v>2234</v>
      </c>
      <c r="H422" s="1" t="s">
        <v>17</v>
      </c>
      <c r="I422" s="2">
        <v>46086</v>
      </c>
      <c r="J422" s="33">
        <f t="shared" si="83"/>
        <v>50686</v>
      </c>
      <c r="K422" s="3">
        <v>6904</v>
      </c>
      <c r="L422" s="3">
        <v>38936</v>
      </c>
      <c r="M422" s="3">
        <v>3846</v>
      </c>
      <c r="N422" s="3">
        <v>0</v>
      </c>
      <c r="O422" s="3">
        <v>1000</v>
      </c>
      <c r="P422" s="1" t="s">
        <v>2235</v>
      </c>
      <c r="Q422" s="3">
        <v>145756</v>
      </c>
      <c r="R422" s="25">
        <f t="shared" si="84"/>
        <v>2.8756658643412383</v>
      </c>
      <c r="S422" s="32">
        <f>J422</f>
        <v>50686</v>
      </c>
      <c r="T422" s="3">
        <f t="shared" si="85"/>
        <v>0</v>
      </c>
      <c r="U422" s="1" t="s">
        <v>3615</v>
      </c>
      <c r="V422" s="16">
        <v>1</v>
      </c>
      <c r="W422" s="28">
        <f t="shared" si="75"/>
        <v>1</v>
      </c>
      <c r="X422" s="27">
        <f t="shared" si="86"/>
        <v>1</v>
      </c>
      <c r="Y422" s="18"/>
      <c r="Z422" s="19"/>
    </row>
    <row r="423" spans="1:26" x14ac:dyDescent="0.35">
      <c r="A423" s="29">
        <v>1</v>
      </c>
      <c r="B423" s="1" t="s">
        <v>3621</v>
      </c>
      <c r="C423" s="1"/>
      <c r="D423" s="1" t="s">
        <v>2510</v>
      </c>
      <c r="E423" s="1" t="s">
        <v>2511</v>
      </c>
      <c r="F423" s="1" t="s">
        <v>2512</v>
      </c>
      <c r="G423" s="5" t="s">
        <v>2513</v>
      </c>
      <c r="H423" s="1" t="s">
        <v>17</v>
      </c>
      <c r="I423" s="2">
        <v>46086</v>
      </c>
      <c r="J423" s="33">
        <f t="shared" si="83"/>
        <v>20860</v>
      </c>
      <c r="K423" s="3">
        <v>12082</v>
      </c>
      <c r="L423" s="3">
        <v>0</v>
      </c>
      <c r="M423" s="3">
        <v>7778</v>
      </c>
      <c r="N423" s="3">
        <v>0</v>
      </c>
      <c r="O423" s="3">
        <v>1000</v>
      </c>
      <c r="P423" s="1" t="s">
        <v>2514</v>
      </c>
      <c r="Q423" s="3">
        <v>782322</v>
      </c>
      <c r="R423" s="25">
        <f t="shared" si="84"/>
        <v>37.503451581975071</v>
      </c>
      <c r="S423" s="32">
        <f>J423</f>
        <v>20860</v>
      </c>
      <c r="T423" s="3">
        <f t="shared" si="85"/>
        <v>0</v>
      </c>
      <c r="U423" s="1" t="s">
        <v>3615</v>
      </c>
      <c r="V423" s="16">
        <v>1</v>
      </c>
      <c r="W423" s="28">
        <f t="shared" si="75"/>
        <v>1</v>
      </c>
      <c r="X423" s="27">
        <f t="shared" si="86"/>
        <v>1</v>
      </c>
      <c r="Y423" s="18"/>
      <c r="Z423" s="19"/>
    </row>
    <row r="424" spans="1:26" x14ac:dyDescent="0.35">
      <c r="A424" s="29">
        <v>1</v>
      </c>
      <c r="B424" s="1" t="s">
        <v>3621</v>
      </c>
      <c r="C424" s="1"/>
      <c r="D424" s="1" t="s">
        <v>1918</v>
      </c>
      <c r="E424" s="1" t="s">
        <v>1919</v>
      </c>
      <c r="F424" s="1" t="s">
        <v>1920</v>
      </c>
      <c r="G424" s="5" t="s">
        <v>1921</v>
      </c>
      <c r="H424" s="1" t="s">
        <v>17</v>
      </c>
      <c r="I424" s="2">
        <v>46086</v>
      </c>
      <c r="J424" s="33">
        <f t="shared" si="83"/>
        <v>60623</v>
      </c>
      <c r="K424" s="3">
        <v>7009</v>
      </c>
      <c r="L424" s="3">
        <v>47999</v>
      </c>
      <c r="M424" s="3">
        <v>4615</v>
      </c>
      <c r="N424" s="3">
        <v>0</v>
      </c>
      <c r="O424" s="3">
        <v>1000</v>
      </c>
      <c r="P424" s="1" t="s">
        <v>1922</v>
      </c>
      <c r="Q424" s="3">
        <v>162894</v>
      </c>
      <c r="R424" s="25">
        <f t="shared" si="84"/>
        <v>2.6869999835046103</v>
      </c>
      <c r="S424" s="32">
        <f>J424</f>
        <v>60623</v>
      </c>
      <c r="T424" s="3">
        <f t="shared" si="85"/>
        <v>0</v>
      </c>
      <c r="U424" s="1" t="s">
        <v>3615</v>
      </c>
      <c r="V424" s="16">
        <v>1</v>
      </c>
      <c r="W424" s="28">
        <f t="shared" si="75"/>
        <v>1</v>
      </c>
      <c r="X424" s="27">
        <f t="shared" si="86"/>
        <v>1</v>
      </c>
      <c r="Y424" s="18"/>
      <c r="Z424" s="19"/>
    </row>
    <row r="425" spans="1:26" x14ac:dyDescent="0.35">
      <c r="A425" s="29">
        <v>1</v>
      </c>
      <c r="B425" s="1" t="s">
        <v>3621</v>
      </c>
      <c r="C425" s="1"/>
      <c r="D425" s="1" t="s">
        <v>2147</v>
      </c>
      <c r="E425" s="1" t="s">
        <v>2148</v>
      </c>
      <c r="F425" s="1" t="s">
        <v>2149</v>
      </c>
      <c r="G425" s="5" t="s">
        <v>2150</v>
      </c>
      <c r="H425" s="1" t="s">
        <v>17</v>
      </c>
      <c r="I425" s="2">
        <v>46086</v>
      </c>
      <c r="J425" s="33">
        <f t="shared" si="83"/>
        <v>49717</v>
      </c>
      <c r="K425" s="3">
        <v>7791</v>
      </c>
      <c r="L425" s="3">
        <v>37176</v>
      </c>
      <c r="M425" s="3">
        <v>3750</v>
      </c>
      <c r="N425" s="3">
        <v>0</v>
      </c>
      <c r="O425" s="3">
        <v>1000</v>
      </c>
      <c r="P425" s="1" t="s">
        <v>2151</v>
      </c>
      <c r="Q425" s="3">
        <v>22641</v>
      </c>
      <c r="R425" s="25">
        <f t="shared" si="84"/>
        <v>0.45539755013375705</v>
      </c>
      <c r="S425" s="32">
        <f>Q425</f>
        <v>22641</v>
      </c>
      <c r="T425" s="31">
        <f t="shared" si="85"/>
        <v>-27076</v>
      </c>
      <c r="U425" s="1" t="s">
        <v>3616</v>
      </c>
      <c r="V425" s="16"/>
      <c r="W425" s="30">
        <f t="shared" si="75"/>
        <v>0</v>
      </c>
      <c r="X425" s="27">
        <f t="shared" si="86"/>
        <v>0.45539755013375705</v>
      </c>
      <c r="Y425" s="18"/>
      <c r="Z425" s="19"/>
    </row>
    <row r="426" spans="1:26" x14ac:dyDescent="0.35">
      <c r="A426" s="29">
        <v>1</v>
      </c>
      <c r="B426" s="1" t="s">
        <v>3621</v>
      </c>
      <c r="C426" s="1"/>
      <c r="D426" s="1" t="s">
        <v>2236</v>
      </c>
      <c r="E426" s="1" t="s">
        <v>2237</v>
      </c>
      <c r="F426" s="1" t="s">
        <v>2238</v>
      </c>
      <c r="G426" s="5" t="s">
        <v>2239</v>
      </c>
      <c r="H426" s="1" t="s">
        <v>17</v>
      </c>
      <c r="I426" s="2">
        <v>46086</v>
      </c>
      <c r="J426" s="33">
        <f t="shared" si="83"/>
        <v>163389</v>
      </c>
      <c r="K426" s="3">
        <v>27616</v>
      </c>
      <c r="L426" s="3">
        <v>122273</v>
      </c>
      <c r="M426" s="3">
        <v>12500</v>
      </c>
      <c r="N426" s="3">
        <v>0</v>
      </c>
      <c r="O426" s="3">
        <v>1000</v>
      </c>
      <c r="P426" s="1" t="s">
        <v>2240</v>
      </c>
      <c r="Q426" s="3">
        <v>422173</v>
      </c>
      <c r="R426" s="25">
        <f t="shared" si="84"/>
        <v>2.5838520341026632</v>
      </c>
      <c r="S426" s="32">
        <f>J426</f>
        <v>163389</v>
      </c>
      <c r="T426" s="3">
        <f t="shared" si="85"/>
        <v>0</v>
      </c>
      <c r="U426" s="1" t="s">
        <v>3615</v>
      </c>
      <c r="V426" s="16">
        <v>1</v>
      </c>
      <c r="W426" s="28">
        <f t="shared" si="75"/>
        <v>1</v>
      </c>
      <c r="X426" s="27">
        <f t="shared" si="86"/>
        <v>1</v>
      </c>
      <c r="Y426" s="18"/>
      <c r="Z426" s="19"/>
    </row>
    <row r="427" spans="1:26" x14ac:dyDescent="0.35">
      <c r="A427" s="29">
        <v>1</v>
      </c>
      <c r="B427" s="1" t="s">
        <v>3621</v>
      </c>
      <c r="C427" s="1"/>
      <c r="D427" s="1" t="s">
        <v>2118</v>
      </c>
      <c r="E427" s="1" t="s">
        <v>2119</v>
      </c>
      <c r="F427" s="1" t="s">
        <v>2120</v>
      </c>
      <c r="G427" s="5" t="s">
        <v>2121</v>
      </c>
      <c r="H427" s="1" t="s">
        <v>467</v>
      </c>
      <c r="I427" s="2">
        <v>46086</v>
      </c>
      <c r="J427" s="33">
        <f t="shared" si="83"/>
        <v>33101</v>
      </c>
      <c r="K427" s="3">
        <v>2127</v>
      </c>
      <c r="L427" s="3">
        <v>29974</v>
      </c>
      <c r="M427" s="3">
        <v>0</v>
      </c>
      <c r="N427" s="3">
        <v>0</v>
      </c>
      <c r="O427" s="3">
        <v>1000</v>
      </c>
      <c r="P427" s="1" t="s">
        <v>2122</v>
      </c>
      <c r="Q427" s="3">
        <v>1128022</v>
      </c>
      <c r="R427" s="25">
        <f t="shared" si="84"/>
        <v>34.078184949095196</v>
      </c>
      <c r="S427" s="32">
        <f>J427</f>
        <v>33101</v>
      </c>
      <c r="T427" s="3">
        <f t="shared" si="85"/>
        <v>0</v>
      </c>
      <c r="U427" s="1" t="s">
        <v>3615</v>
      </c>
      <c r="V427" s="16">
        <v>1</v>
      </c>
      <c r="W427" s="28">
        <f t="shared" si="75"/>
        <v>1</v>
      </c>
      <c r="X427" s="27">
        <f t="shared" si="86"/>
        <v>1</v>
      </c>
      <c r="Y427" s="18"/>
      <c r="Z427" s="19"/>
    </row>
    <row r="428" spans="1:26" x14ac:dyDescent="0.35">
      <c r="A428" s="29">
        <v>1</v>
      </c>
      <c r="B428" s="1" t="s">
        <v>3621</v>
      </c>
      <c r="C428" s="1"/>
      <c r="D428" s="1" t="s">
        <v>2000</v>
      </c>
      <c r="E428" s="1" t="s">
        <v>2001</v>
      </c>
      <c r="F428" s="1" t="s">
        <v>2002</v>
      </c>
      <c r="G428" s="5" t="s">
        <v>2003</v>
      </c>
      <c r="H428" s="1" t="s">
        <v>17</v>
      </c>
      <c r="I428" s="2">
        <v>46086</v>
      </c>
      <c r="J428" s="33">
        <f t="shared" si="83"/>
        <v>163389</v>
      </c>
      <c r="K428" s="3">
        <v>24296</v>
      </c>
      <c r="L428" s="3">
        <v>125593</v>
      </c>
      <c r="M428" s="3">
        <v>12500</v>
      </c>
      <c r="N428" s="3">
        <v>0</v>
      </c>
      <c r="O428" s="3">
        <v>1000</v>
      </c>
      <c r="P428" s="1" t="s">
        <v>2004</v>
      </c>
      <c r="Q428" s="3">
        <v>158874</v>
      </c>
      <c r="R428" s="25">
        <f t="shared" si="84"/>
        <v>0.97236656078438577</v>
      </c>
      <c r="S428" s="32">
        <f>Q428</f>
        <v>158874</v>
      </c>
      <c r="T428" s="31">
        <f t="shared" si="85"/>
        <v>-4515</v>
      </c>
      <c r="U428" s="1" t="s">
        <v>3616</v>
      </c>
      <c r="V428" s="16"/>
      <c r="W428" s="30">
        <f t="shared" si="75"/>
        <v>0</v>
      </c>
      <c r="X428" s="27">
        <f t="shared" si="86"/>
        <v>0.97236656078438577</v>
      </c>
      <c r="Y428" s="18"/>
      <c r="Z428" s="19"/>
    </row>
    <row r="429" spans="1:26" x14ac:dyDescent="0.35">
      <c r="A429" s="29">
        <v>1</v>
      </c>
      <c r="B429" s="1" t="s">
        <v>3621</v>
      </c>
      <c r="C429" s="1"/>
      <c r="D429" s="1" t="s">
        <v>2014</v>
      </c>
      <c r="E429" s="1" t="s">
        <v>2015</v>
      </c>
      <c r="F429" s="1" t="s">
        <v>2016</v>
      </c>
      <c r="G429" s="5" t="s">
        <v>2017</v>
      </c>
      <c r="H429" s="1" t="s">
        <v>17</v>
      </c>
      <c r="I429" s="2">
        <v>46086</v>
      </c>
      <c r="J429" s="33">
        <f t="shared" si="83"/>
        <v>104604</v>
      </c>
      <c r="K429" s="3">
        <v>19707</v>
      </c>
      <c r="L429" s="3">
        <v>76002</v>
      </c>
      <c r="M429" s="3">
        <v>7895</v>
      </c>
      <c r="N429" s="3">
        <v>0</v>
      </c>
      <c r="O429" s="3">
        <v>1000</v>
      </c>
      <c r="P429" s="1" t="s">
        <v>2018</v>
      </c>
      <c r="Q429" s="3">
        <v>116591</v>
      </c>
      <c r="R429" s="25">
        <f t="shared" si="84"/>
        <v>1.1145940881801844</v>
      </c>
      <c r="S429" s="32">
        <f>J429</f>
        <v>104604</v>
      </c>
      <c r="T429" s="3">
        <f t="shared" si="85"/>
        <v>0</v>
      </c>
      <c r="U429" s="1" t="s">
        <v>3615</v>
      </c>
      <c r="V429" s="16">
        <v>1</v>
      </c>
      <c r="W429" s="28">
        <f t="shared" si="75"/>
        <v>1</v>
      </c>
      <c r="X429" s="27">
        <f t="shared" si="86"/>
        <v>1</v>
      </c>
      <c r="Y429" s="18"/>
      <c r="Z429" s="19"/>
    </row>
    <row r="430" spans="1:26" x14ac:dyDescent="0.35">
      <c r="A430" s="29">
        <v>1</v>
      </c>
      <c r="B430" s="1" t="s">
        <v>3621</v>
      </c>
      <c r="C430" s="1"/>
      <c r="D430" s="1" t="s">
        <v>2085</v>
      </c>
      <c r="E430" s="1" t="s">
        <v>2086</v>
      </c>
      <c r="F430" s="1" t="s">
        <v>2087</v>
      </c>
      <c r="G430" s="5" t="s">
        <v>2088</v>
      </c>
      <c r="H430" s="1" t="s">
        <v>1240</v>
      </c>
      <c r="I430" s="2">
        <v>46086</v>
      </c>
      <c r="J430" s="33">
        <f t="shared" si="83"/>
        <v>14601</v>
      </c>
      <c r="K430" s="3">
        <v>987</v>
      </c>
      <c r="L430" s="3">
        <v>11481</v>
      </c>
      <c r="M430" s="3">
        <v>1133</v>
      </c>
      <c r="N430" s="3">
        <v>0</v>
      </c>
      <c r="O430" s="3">
        <v>1000</v>
      </c>
      <c r="P430" s="1" t="s">
        <v>2089</v>
      </c>
      <c r="Q430" s="3">
        <v>117307</v>
      </c>
      <c r="R430" s="25">
        <f t="shared" si="84"/>
        <v>8.0341757413875765</v>
      </c>
      <c r="S430" s="32">
        <f>J430</f>
        <v>14601</v>
      </c>
      <c r="T430" s="3">
        <f t="shared" si="85"/>
        <v>0</v>
      </c>
      <c r="U430" s="1" t="s">
        <v>3615</v>
      </c>
      <c r="V430" s="16">
        <v>1</v>
      </c>
      <c r="W430" s="28">
        <f t="shared" si="75"/>
        <v>1</v>
      </c>
      <c r="X430" s="27">
        <f t="shared" si="86"/>
        <v>1</v>
      </c>
      <c r="Y430" s="18"/>
      <c r="Z430" s="19"/>
    </row>
    <row r="431" spans="1:26" x14ac:dyDescent="0.35">
      <c r="A431" s="29">
        <v>1</v>
      </c>
      <c r="B431" s="1" t="s">
        <v>3621</v>
      </c>
      <c r="C431" s="1"/>
      <c r="D431" s="1" t="s">
        <v>2198</v>
      </c>
      <c r="E431" s="1" t="s">
        <v>2199</v>
      </c>
      <c r="F431" s="1" t="s">
        <v>2200</v>
      </c>
      <c r="G431" s="5" t="s">
        <v>2201</v>
      </c>
      <c r="H431" s="1" t="s">
        <v>17</v>
      </c>
      <c r="I431" s="2">
        <v>46086</v>
      </c>
      <c r="J431" s="33">
        <f t="shared" si="83"/>
        <v>40749</v>
      </c>
      <c r="K431" s="3">
        <v>5523</v>
      </c>
      <c r="L431" s="3">
        <v>31149</v>
      </c>
      <c r="M431" s="3">
        <v>3077</v>
      </c>
      <c r="N431" s="3">
        <v>0</v>
      </c>
      <c r="O431" s="3">
        <v>1000</v>
      </c>
      <c r="P431" s="1" t="s">
        <v>2202</v>
      </c>
      <c r="Q431" s="3">
        <v>4587</v>
      </c>
      <c r="R431" s="25">
        <f t="shared" si="84"/>
        <v>0.11256717956268865</v>
      </c>
      <c r="S431" s="32">
        <f>Q431</f>
        <v>4587</v>
      </c>
      <c r="T431" s="31">
        <f t="shared" si="85"/>
        <v>-36162</v>
      </c>
      <c r="U431" s="1" t="s">
        <v>3616</v>
      </c>
      <c r="V431" s="16"/>
      <c r="W431" s="30">
        <f t="shared" si="75"/>
        <v>0</v>
      </c>
      <c r="X431" s="27">
        <f t="shared" si="86"/>
        <v>0.11256717956268865</v>
      </c>
      <c r="Y431" s="18"/>
      <c r="Z431" s="19"/>
    </row>
    <row r="432" spans="1:26" x14ac:dyDescent="0.35">
      <c r="A432" s="29">
        <v>1</v>
      </c>
      <c r="B432" s="1" t="s">
        <v>3621</v>
      </c>
      <c r="C432" s="1"/>
      <c r="D432" s="1" t="s">
        <v>2307</v>
      </c>
      <c r="E432" s="1" t="s">
        <v>2308</v>
      </c>
      <c r="F432" s="1" t="s">
        <v>2309</v>
      </c>
      <c r="G432" s="5" t="s">
        <v>2310</v>
      </c>
      <c r="H432" s="1" t="s">
        <v>17</v>
      </c>
      <c r="I432" s="2">
        <v>46086</v>
      </c>
      <c r="J432" s="33">
        <f t="shared" si="83"/>
        <v>82194</v>
      </c>
      <c r="K432" s="3">
        <v>11292</v>
      </c>
      <c r="L432" s="3">
        <v>63652</v>
      </c>
      <c r="M432" s="3">
        <v>6250</v>
      </c>
      <c r="N432" s="3">
        <v>0</v>
      </c>
      <c r="O432" s="3">
        <v>1000</v>
      </c>
      <c r="P432" s="1" t="s">
        <v>2311</v>
      </c>
      <c r="Q432" s="3">
        <v>21694</v>
      </c>
      <c r="R432" s="25">
        <f t="shared" si="84"/>
        <v>0.26393654038007641</v>
      </c>
      <c r="S432" s="32">
        <f>Q432</f>
        <v>21694</v>
      </c>
      <c r="T432" s="31">
        <f t="shared" si="85"/>
        <v>-60500</v>
      </c>
      <c r="U432" s="1" t="s">
        <v>3616</v>
      </c>
      <c r="V432" s="16"/>
      <c r="W432" s="30">
        <f t="shared" si="75"/>
        <v>0</v>
      </c>
      <c r="X432" s="27">
        <f t="shared" si="86"/>
        <v>0.26393654038007641</v>
      </c>
      <c r="Y432" s="18"/>
      <c r="Z432" s="19"/>
    </row>
    <row r="433" spans="1:26" x14ac:dyDescent="0.35">
      <c r="A433" s="29">
        <v>1</v>
      </c>
      <c r="B433" s="1" t="s">
        <v>3621</v>
      </c>
      <c r="C433" s="1"/>
      <c r="D433" s="1" t="s">
        <v>2414</v>
      </c>
      <c r="E433" s="1" t="s">
        <v>2415</v>
      </c>
      <c r="F433" s="1" t="s">
        <v>2416</v>
      </c>
      <c r="G433" s="5" t="s">
        <v>2417</v>
      </c>
      <c r="H433" s="1" t="s">
        <v>17</v>
      </c>
      <c r="I433" s="2">
        <v>46086</v>
      </c>
      <c r="J433" s="33">
        <f t="shared" si="83"/>
        <v>116083</v>
      </c>
      <c r="K433" s="3">
        <v>88767</v>
      </c>
      <c r="L433" s="3">
        <v>0</v>
      </c>
      <c r="M433" s="3">
        <v>26316</v>
      </c>
      <c r="N433" s="3">
        <v>0</v>
      </c>
      <c r="O433" s="3">
        <v>1000</v>
      </c>
      <c r="P433" s="1" t="s">
        <v>2418</v>
      </c>
      <c r="Q433" s="3">
        <v>1461204</v>
      </c>
      <c r="R433" s="25">
        <f t="shared" si="84"/>
        <v>12.587579576682202</v>
      </c>
      <c r="S433" s="32">
        <f>J433</f>
        <v>116083</v>
      </c>
      <c r="T433" s="3">
        <f t="shared" si="85"/>
        <v>0</v>
      </c>
      <c r="U433" s="1" t="s">
        <v>3615</v>
      </c>
      <c r="V433" s="16">
        <v>1</v>
      </c>
      <c r="W433" s="28">
        <f t="shared" si="75"/>
        <v>1</v>
      </c>
      <c r="X433" s="27">
        <f t="shared" si="86"/>
        <v>1</v>
      </c>
      <c r="Y433" s="18"/>
      <c r="Z433" s="19"/>
    </row>
    <row r="434" spans="1:26" x14ac:dyDescent="0.35">
      <c r="A434" s="29">
        <v>1</v>
      </c>
      <c r="B434" s="1" t="s">
        <v>3621</v>
      </c>
      <c r="C434" s="1"/>
      <c r="D434" s="1" t="s">
        <v>2280</v>
      </c>
      <c r="E434" s="1" t="s">
        <v>2281</v>
      </c>
      <c r="F434" s="1" t="s">
        <v>2282</v>
      </c>
      <c r="G434" s="5" t="s">
        <v>2283</v>
      </c>
      <c r="H434" s="1" t="s">
        <v>17</v>
      </c>
      <c r="I434" s="2">
        <v>46086</v>
      </c>
      <c r="J434" s="33">
        <f t="shared" si="83"/>
        <v>20874</v>
      </c>
      <c r="K434" s="3">
        <v>2762</v>
      </c>
      <c r="L434" s="3">
        <v>15574</v>
      </c>
      <c r="M434" s="3">
        <v>1538</v>
      </c>
      <c r="N434" s="3">
        <v>0</v>
      </c>
      <c r="O434" s="3">
        <v>1000</v>
      </c>
      <c r="P434" s="1" t="s">
        <v>2284</v>
      </c>
      <c r="Q434" s="3">
        <v>28417</v>
      </c>
      <c r="R434" s="25">
        <f t="shared" si="84"/>
        <v>1.3613586279582255</v>
      </c>
      <c r="S434" s="32">
        <f>J434</f>
        <v>20874</v>
      </c>
      <c r="T434" s="3">
        <f t="shared" si="85"/>
        <v>0</v>
      </c>
      <c r="U434" s="1" t="s">
        <v>3615</v>
      </c>
      <c r="V434" s="16">
        <v>1</v>
      </c>
      <c r="W434" s="28">
        <f t="shared" si="75"/>
        <v>1</v>
      </c>
      <c r="X434" s="27">
        <f t="shared" si="86"/>
        <v>1</v>
      </c>
      <c r="Y434" s="18"/>
      <c r="Z434" s="19"/>
    </row>
    <row r="435" spans="1:26" x14ac:dyDescent="0.35">
      <c r="A435" s="29">
        <v>1</v>
      </c>
      <c r="B435" s="1" t="s">
        <v>3621</v>
      </c>
      <c r="C435" s="1"/>
      <c r="D435" s="1" t="s">
        <v>1876</v>
      </c>
      <c r="E435" s="1" t="s">
        <v>1877</v>
      </c>
      <c r="F435" s="1" t="s">
        <v>1878</v>
      </c>
      <c r="G435" s="5" t="s">
        <v>1879</v>
      </c>
      <c r="H435" s="1" t="s">
        <v>17</v>
      </c>
      <c r="I435" s="2">
        <v>46086</v>
      </c>
      <c r="J435" s="33">
        <f t="shared" si="83"/>
        <v>50686</v>
      </c>
      <c r="K435" s="3">
        <v>5294</v>
      </c>
      <c r="L435" s="3">
        <v>40546</v>
      </c>
      <c r="M435" s="3">
        <v>3846</v>
      </c>
      <c r="N435" s="3">
        <v>0</v>
      </c>
      <c r="O435" s="3">
        <v>1000</v>
      </c>
      <c r="P435" s="1" t="s">
        <v>1880</v>
      </c>
      <c r="Q435" s="3">
        <v>88710</v>
      </c>
      <c r="R435" s="25">
        <f t="shared" si="84"/>
        <v>1.7501874284812373</v>
      </c>
      <c r="S435" s="32">
        <f>J435</f>
        <v>50686</v>
      </c>
      <c r="T435" s="3">
        <f t="shared" si="85"/>
        <v>0</v>
      </c>
      <c r="U435" s="1" t="s">
        <v>3615</v>
      </c>
      <c r="V435" s="16">
        <v>1</v>
      </c>
      <c r="W435" s="28">
        <f t="shared" si="75"/>
        <v>1</v>
      </c>
      <c r="X435" s="27">
        <f t="shared" si="86"/>
        <v>1</v>
      </c>
      <c r="Y435" s="18"/>
      <c r="Z435" s="19"/>
    </row>
    <row r="436" spans="1:26" x14ac:dyDescent="0.35">
      <c r="A436" s="29">
        <v>1</v>
      </c>
      <c r="B436" s="1" t="s">
        <v>3621</v>
      </c>
      <c r="C436" s="1"/>
      <c r="D436" s="1" t="s">
        <v>1943</v>
      </c>
      <c r="E436" s="1" t="s">
        <v>1944</v>
      </c>
      <c r="F436" s="1" t="s">
        <v>1945</v>
      </c>
      <c r="G436" s="5" t="s">
        <v>1946</v>
      </c>
      <c r="H436" s="1" t="s">
        <v>17</v>
      </c>
      <c r="I436" s="2">
        <v>46086</v>
      </c>
      <c r="J436" s="33">
        <f t="shared" si="83"/>
        <v>20874</v>
      </c>
      <c r="K436" s="3">
        <v>1672</v>
      </c>
      <c r="L436" s="3">
        <v>16664</v>
      </c>
      <c r="M436" s="3">
        <v>1538</v>
      </c>
      <c r="N436" s="3">
        <v>0</v>
      </c>
      <c r="O436" s="3">
        <v>1000</v>
      </c>
      <c r="P436" s="1" t="s">
        <v>1947</v>
      </c>
      <c r="Q436" s="3">
        <v>47938</v>
      </c>
      <c r="R436" s="25">
        <f t="shared" si="84"/>
        <v>2.2965411516719363</v>
      </c>
      <c r="S436" s="32">
        <f>J436</f>
        <v>20874</v>
      </c>
      <c r="T436" s="3">
        <f t="shared" si="85"/>
        <v>0</v>
      </c>
      <c r="U436" s="1" t="s">
        <v>3615</v>
      </c>
      <c r="V436" s="16">
        <v>1</v>
      </c>
      <c r="W436" s="28">
        <f t="shared" si="75"/>
        <v>1</v>
      </c>
      <c r="X436" s="27">
        <f t="shared" si="86"/>
        <v>1</v>
      </c>
      <c r="Y436" s="18"/>
      <c r="Z436" s="19"/>
    </row>
    <row r="437" spans="1:26" x14ac:dyDescent="0.35">
      <c r="A437" s="29">
        <v>1</v>
      </c>
      <c r="B437" s="1" t="s">
        <v>3621</v>
      </c>
      <c r="C437" s="1"/>
      <c r="D437" s="1" t="s">
        <v>2477</v>
      </c>
      <c r="E437" s="1" t="s">
        <v>2478</v>
      </c>
      <c r="F437" s="1" t="s">
        <v>2479</v>
      </c>
      <c r="G437" s="5" t="s">
        <v>2480</v>
      </c>
      <c r="H437" s="1" t="s">
        <v>17</v>
      </c>
      <c r="I437" s="2">
        <v>46086</v>
      </c>
      <c r="J437" s="33">
        <f t="shared" si="83"/>
        <v>13618</v>
      </c>
      <c r="K437" s="3">
        <v>6904</v>
      </c>
      <c r="L437" s="3">
        <v>0</v>
      </c>
      <c r="M437" s="3">
        <v>5714</v>
      </c>
      <c r="N437" s="3">
        <v>0</v>
      </c>
      <c r="O437" s="3">
        <v>1000</v>
      </c>
      <c r="P437" s="1" t="s">
        <v>2481</v>
      </c>
      <c r="Q437" s="3">
        <v>13393</v>
      </c>
      <c r="R437" s="25">
        <f t="shared" si="84"/>
        <v>0.98347775003671611</v>
      </c>
      <c r="S437" s="32">
        <f>Q437</f>
        <v>13393</v>
      </c>
      <c r="T437" s="31">
        <f t="shared" si="85"/>
        <v>-225</v>
      </c>
      <c r="U437" s="1" t="s">
        <v>3616</v>
      </c>
      <c r="V437" s="16"/>
      <c r="W437" s="30">
        <f t="shared" si="75"/>
        <v>0</v>
      </c>
      <c r="X437" s="27">
        <f t="shared" si="86"/>
        <v>0.98347775003671611</v>
      </c>
      <c r="Y437" s="18"/>
      <c r="Z437" s="19"/>
    </row>
    <row r="438" spans="1:26" x14ac:dyDescent="0.35">
      <c r="A438" s="29">
        <v>1</v>
      </c>
      <c r="B438" s="1" t="s">
        <v>3621</v>
      </c>
      <c r="C438" s="1"/>
      <c r="D438" s="1" t="s">
        <v>2400</v>
      </c>
      <c r="E438" s="1" t="s">
        <v>2401</v>
      </c>
      <c r="F438" s="1" t="s">
        <v>2402</v>
      </c>
      <c r="G438" s="5" t="s">
        <v>2403</v>
      </c>
      <c r="H438" s="1" t="s">
        <v>17</v>
      </c>
      <c r="I438" s="2">
        <v>46086</v>
      </c>
      <c r="J438" s="33">
        <f t="shared" si="83"/>
        <v>122792</v>
      </c>
      <c r="K438" s="3">
        <v>20712</v>
      </c>
      <c r="L438" s="3">
        <v>91705</v>
      </c>
      <c r="M438" s="3">
        <v>9375</v>
      </c>
      <c r="N438" s="3">
        <v>0</v>
      </c>
      <c r="O438" s="3">
        <v>1000</v>
      </c>
      <c r="P438" s="1" t="s">
        <v>2404</v>
      </c>
      <c r="Q438" s="3">
        <v>212711</v>
      </c>
      <c r="R438" s="25">
        <f t="shared" si="84"/>
        <v>1.7322871196820639</v>
      </c>
      <c r="S438" s="32">
        <f>J438</f>
        <v>122792</v>
      </c>
      <c r="T438" s="3">
        <f t="shared" si="85"/>
        <v>0</v>
      </c>
      <c r="U438" s="1" t="s">
        <v>3615</v>
      </c>
      <c r="V438" s="16">
        <v>1</v>
      </c>
      <c r="W438" s="28">
        <f t="shared" si="75"/>
        <v>1</v>
      </c>
      <c r="X438" s="27">
        <f t="shared" si="86"/>
        <v>1</v>
      </c>
      <c r="Y438" s="18"/>
      <c r="Z438" s="19"/>
    </row>
    <row r="439" spans="1:26" x14ac:dyDescent="0.35">
      <c r="A439" s="29">
        <v>1</v>
      </c>
      <c r="B439" s="1" t="s">
        <v>3621</v>
      </c>
      <c r="C439" s="1"/>
      <c r="D439" s="1" t="s">
        <v>2385</v>
      </c>
      <c r="E439" s="1" t="s">
        <v>2386</v>
      </c>
      <c r="F439" s="1" t="s">
        <v>2387</v>
      </c>
      <c r="G439" s="5" t="s">
        <v>2388</v>
      </c>
      <c r="H439" s="1" t="s">
        <v>32</v>
      </c>
      <c r="I439" s="2">
        <v>46086</v>
      </c>
      <c r="J439" s="33">
        <f t="shared" si="83"/>
        <v>50686</v>
      </c>
      <c r="K439" s="3">
        <v>6904</v>
      </c>
      <c r="L439" s="3">
        <v>38936</v>
      </c>
      <c r="M439" s="3">
        <v>3846</v>
      </c>
      <c r="N439" s="3">
        <v>0</v>
      </c>
      <c r="O439" s="3">
        <v>1000</v>
      </c>
      <c r="P439" s="1" t="s">
        <v>2389</v>
      </c>
      <c r="Q439" s="3">
        <v>122009</v>
      </c>
      <c r="R439" s="25">
        <f t="shared" si="84"/>
        <v>2.4071538491891253</v>
      </c>
      <c r="S439" s="32">
        <f>J439</f>
        <v>50686</v>
      </c>
      <c r="T439" s="3">
        <f t="shared" si="85"/>
        <v>0</v>
      </c>
      <c r="U439" s="1" t="s">
        <v>3615</v>
      </c>
      <c r="V439" s="16">
        <v>1</v>
      </c>
      <c r="W439" s="28">
        <f t="shared" si="75"/>
        <v>1</v>
      </c>
      <c r="X439" s="27">
        <f t="shared" si="86"/>
        <v>1</v>
      </c>
      <c r="Y439" s="18"/>
      <c r="Z439" s="19"/>
    </row>
    <row r="440" spans="1:26" x14ac:dyDescent="0.35">
      <c r="A440" s="29">
        <v>1</v>
      </c>
      <c r="B440" s="1" t="s">
        <v>3621</v>
      </c>
      <c r="C440" s="1"/>
      <c r="D440" s="1" t="s">
        <v>2370</v>
      </c>
      <c r="E440" s="1" t="s">
        <v>2371</v>
      </c>
      <c r="F440" s="1" t="s">
        <v>2372</v>
      </c>
      <c r="G440" s="5" t="s">
        <v>2373</v>
      </c>
      <c r="H440" s="1" t="s">
        <v>17</v>
      </c>
      <c r="I440" s="2">
        <v>46086</v>
      </c>
      <c r="J440" s="33">
        <f t="shared" si="83"/>
        <v>41597</v>
      </c>
      <c r="K440" s="3">
        <v>6904</v>
      </c>
      <c r="L440" s="3">
        <v>30568</v>
      </c>
      <c r="M440" s="3">
        <v>3125</v>
      </c>
      <c r="N440" s="3">
        <v>0</v>
      </c>
      <c r="O440" s="3">
        <v>1000</v>
      </c>
      <c r="P440" s="1" t="s">
        <v>2374</v>
      </c>
      <c r="Q440" s="3">
        <v>31317</v>
      </c>
      <c r="R440" s="25">
        <f t="shared" si="84"/>
        <v>0.75286679327836137</v>
      </c>
      <c r="S440" s="32">
        <f>Q440</f>
        <v>31317</v>
      </c>
      <c r="T440" s="31">
        <f t="shared" si="85"/>
        <v>-10280</v>
      </c>
      <c r="U440" s="1" t="s">
        <v>3616</v>
      </c>
      <c r="V440" s="16"/>
      <c r="W440" s="30">
        <f t="shared" si="75"/>
        <v>0</v>
      </c>
      <c r="X440" s="27">
        <f t="shared" si="86"/>
        <v>0.75286679327836137</v>
      </c>
      <c r="Y440" s="18"/>
      <c r="Z440" s="19"/>
    </row>
    <row r="441" spans="1:26" x14ac:dyDescent="0.35">
      <c r="A441" s="29">
        <v>1</v>
      </c>
      <c r="B441" s="1" t="s">
        <v>3621</v>
      </c>
      <c r="C441" s="1"/>
      <c r="D441" s="1" t="s">
        <v>2104</v>
      </c>
      <c r="E441" s="1" t="s">
        <v>2105</v>
      </c>
      <c r="F441" s="1" t="s">
        <v>2106</v>
      </c>
      <c r="G441" s="5" t="s">
        <v>2107</v>
      </c>
      <c r="H441" s="1" t="s">
        <v>17</v>
      </c>
      <c r="I441" s="2">
        <v>46086</v>
      </c>
      <c r="J441" s="33">
        <f t="shared" si="83"/>
        <v>163389</v>
      </c>
      <c r="K441" s="3">
        <v>22584</v>
      </c>
      <c r="L441" s="3">
        <v>127305</v>
      </c>
      <c r="M441" s="3">
        <v>12500</v>
      </c>
      <c r="N441" s="3">
        <v>0</v>
      </c>
      <c r="O441" s="3">
        <v>1000</v>
      </c>
      <c r="P441" s="1" t="s">
        <v>2108</v>
      </c>
      <c r="Q441" s="3">
        <v>413732</v>
      </c>
      <c r="R441" s="25">
        <f t="shared" si="84"/>
        <v>2.5321900495137371</v>
      </c>
      <c r="S441" s="32">
        <f t="shared" ref="S441:S447" si="87">J441</f>
        <v>163389</v>
      </c>
      <c r="T441" s="3">
        <f t="shared" si="85"/>
        <v>0</v>
      </c>
      <c r="U441" s="1" t="s">
        <v>3615</v>
      </c>
      <c r="V441" s="16">
        <v>1</v>
      </c>
      <c r="W441" s="28">
        <f t="shared" si="75"/>
        <v>1</v>
      </c>
      <c r="X441" s="27">
        <f t="shared" si="86"/>
        <v>1</v>
      </c>
      <c r="Y441" s="18"/>
      <c r="Z441" s="19"/>
    </row>
    <row r="442" spans="1:26" x14ac:dyDescent="0.35">
      <c r="A442" s="29">
        <v>1</v>
      </c>
      <c r="B442" s="1" t="s">
        <v>3621</v>
      </c>
      <c r="C442" s="1"/>
      <c r="D442" s="1" t="s">
        <v>2054</v>
      </c>
      <c r="E442" s="1" t="s">
        <v>2055</v>
      </c>
      <c r="F442" s="1" t="s">
        <v>2056</v>
      </c>
      <c r="G442" s="5" t="s">
        <v>2057</v>
      </c>
      <c r="H442" s="1" t="s">
        <v>17</v>
      </c>
      <c r="I442" s="2">
        <v>46086</v>
      </c>
      <c r="J442" s="33">
        <f t="shared" si="83"/>
        <v>50924</v>
      </c>
      <c r="K442" s="3">
        <v>3820</v>
      </c>
      <c r="L442" s="3">
        <v>42258</v>
      </c>
      <c r="M442" s="3">
        <v>3846</v>
      </c>
      <c r="N442" s="3">
        <v>0</v>
      </c>
      <c r="O442" s="3">
        <v>1000</v>
      </c>
      <c r="P442" s="1" t="s">
        <v>2058</v>
      </c>
      <c r="Q442" s="3">
        <v>79101</v>
      </c>
      <c r="R442" s="25">
        <f t="shared" si="84"/>
        <v>1.5533147435393921</v>
      </c>
      <c r="S442" s="32">
        <f t="shared" si="87"/>
        <v>50924</v>
      </c>
      <c r="T442" s="3">
        <f t="shared" si="85"/>
        <v>0</v>
      </c>
      <c r="U442" s="1" t="s">
        <v>3615</v>
      </c>
      <c r="V442" s="16">
        <v>1</v>
      </c>
      <c r="W442" s="28">
        <f t="shared" si="75"/>
        <v>1</v>
      </c>
      <c r="X442" s="27">
        <f t="shared" si="86"/>
        <v>1</v>
      </c>
      <c r="Y442" s="18"/>
      <c r="Z442" s="19"/>
    </row>
    <row r="443" spans="1:26" x14ac:dyDescent="0.35">
      <c r="A443" s="29">
        <v>1</v>
      </c>
      <c r="B443" s="1" t="s">
        <v>3621</v>
      </c>
      <c r="C443" s="1"/>
      <c r="D443" s="1" t="s">
        <v>2246</v>
      </c>
      <c r="E443" s="1" t="s">
        <v>2247</v>
      </c>
      <c r="F443" s="1" t="s">
        <v>2248</v>
      </c>
      <c r="G443" s="5" t="s">
        <v>2249</v>
      </c>
      <c r="H443" s="1" t="s">
        <v>17</v>
      </c>
      <c r="I443" s="2">
        <v>46086</v>
      </c>
      <c r="J443" s="33">
        <f t="shared" si="83"/>
        <v>60623</v>
      </c>
      <c r="K443" s="3">
        <v>8285</v>
      </c>
      <c r="L443" s="3">
        <v>46723</v>
      </c>
      <c r="M443" s="3">
        <v>4615</v>
      </c>
      <c r="N443" s="3">
        <v>0</v>
      </c>
      <c r="O443" s="3">
        <v>1000</v>
      </c>
      <c r="P443" s="1" t="s">
        <v>2250</v>
      </c>
      <c r="Q443" s="3">
        <v>156767</v>
      </c>
      <c r="R443" s="25">
        <f t="shared" si="84"/>
        <v>2.5859327318014613</v>
      </c>
      <c r="S443" s="32">
        <f t="shared" si="87"/>
        <v>60623</v>
      </c>
      <c r="T443" s="3">
        <f t="shared" si="85"/>
        <v>0</v>
      </c>
      <c r="U443" s="1" t="s">
        <v>3615</v>
      </c>
      <c r="V443" s="16">
        <v>1</v>
      </c>
      <c r="W443" s="28">
        <f t="shared" si="75"/>
        <v>1</v>
      </c>
      <c r="X443" s="27">
        <f t="shared" si="86"/>
        <v>1</v>
      </c>
      <c r="Y443" s="18"/>
      <c r="Z443" s="19"/>
    </row>
    <row r="444" spans="1:26" x14ac:dyDescent="0.35">
      <c r="A444" s="29">
        <v>1</v>
      </c>
      <c r="B444" s="1" t="s">
        <v>3621</v>
      </c>
      <c r="C444" s="1"/>
      <c r="D444" s="1" t="s">
        <v>1881</v>
      </c>
      <c r="E444" s="1" t="s">
        <v>1882</v>
      </c>
      <c r="F444" s="1" t="s">
        <v>1883</v>
      </c>
      <c r="G444" s="5" t="s">
        <v>1884</v>
      </c>
      <c r="H444" s="1" t="s">
        <v>17</v>
      </c>
      <c r="I444" s="2">
        <v>46086</v>
      </c>
      <c r="J444" s="33">
        <f t="shared" si="83"/>
        <v>82194</v>
      </c>
      <c r="K444" s="3">
        <v>11292</v>
      </c>
      <c r="L444" s="3">
        <v>63652</v>
      </c>
      <c r="M444" s="3">
        <v>6250</v>
      </c>
      <c r="N444" s="3">
        <v>0</v>
      </c>
      <c r="O444" s="3">
        <v>1000</v>
      </c>
      <c r="P444" s="1" t="s">
        <v>1885</v>
      </c>
      <c r="Q444" s="3">
        <v>188409</v>
      </c>
      <c r="R444" s="25">
        <f t="shared" si="84"/>
        <v>2.2922476093145483</v>
      </c>
      <c r="S444" s="32">
        <f t="shared" si="87"/>
        <v>82194</v>
      </c>
      <c r="T444" s="3">
        <f t="shared" si="85"/>
        <v>0</v>
      </c>
      <c r="U444" s="1" t="s">
        <v>3615</v>
      </c>
      <c r="V444" s="16">
        <v>1</v>
      </c>
      <c r="W444" s="28">
        <f t="shared" si="75"/>
        <v>1</v>
      </c>
      <c r="X444" s="27">
        <f t="shared" si="86"/>
        <v>1</v>
      </c>
      <c r="Y444" s="18"/>
      <c r="Z444" s="19"/>
    </row>
    <row r="445" spans="1:26" x14ac:dyDescent="0.35">
      <c r="A445" s="29">
        <v>1</v>
      </c>
      <c r="B445" s="1" t="s">
        <v>3621</v>
      </c>
      <c r="C445" s="1"/>
      <c r="D445" s="1" t="s">
        <v>1923</v>
      </c>
      <c r="E445" s="1" t="s">
        <v>1924</v>
      </c>
      <c r="F445" s="1" t="s">
        <v>1925</v>
      </c>
      <c r="G445" s="5" t="s">
        <v>1926</v>
      </c>
      <c r="H445" s="1" t="s">
        <v>17</v>
      </c>
      <c r="I445" s="2">
        <v>46086</v>
      </c>
      <c r="J445" s="33">
        <f t="shared" si="83"/>
        <v>438046</v>
      </c>
      <c r="K445" s="3">
        <v>69688</v>
      </c>
      <c r="L445" s="3">
        <v>334025</v>
      </c>
      <c r="M445" s="3">
        <v>33333</v>
      </c>
      <c r="N445" s="3">
        <v>0</v>
      </c>
      <c r="O445" s="3">
        <v>1000</v>
      </c>
      <c r="P445" s="1" t="s">
        <v>1927</v>
      </c>
      <c r="Q445" s="3">
        <v>1633731</v>
      </c>
      <c r="R445" s="25">
        <f t="shared" si="84"/>
        <v>3.7295877601895691</v>
      </c>
      <c r="S445" s="32">
        <f t="shared" si="87"/>
        <v>438046</v>
      </c>
      <c r="T445" s="3">
        <f t="shared" si="85"/>
        <v>0</v>
      </c>
      <c r="U445" s="1" t="s">
        <v>3615</v>
      </c>
      <c r="V445" s="16">
        <v>1</v>
      </c>
      <c r="W445" s="28">
        <f t="shared" si="75"/>
        <v>1</v>
      </c>
      <c r="X445" s="27">
        <f t="shared" si="86"/>
        <v>1</v>
      </c>
      <c r="Y445" s="18"/>
      <c r="Z445" s="19"/>
    </row>
    <row r="446" spans="1:26" x14ac:dyDescent="0.35">
      <c r="A446" s="29">
        <v>1</v>
      </c>
      <c r="B446" s="1" t="s">
        <v>3621</v>
      </c>
      <c r="C446" s="1"/>
      <c r="D446" s="1" t="s">
        <v>2113</v>
      </c>
      <c r="E446" s="1" t="s">
        <v>2114</v>
      </c>
      <c r="F446" s="1" t="s">
        <v>2115</v>
      </c>
      <c r="G446" s="5" t="s">
        <v>2116</v>
      </c>
      <c r="H446" s="1" t="s">
        <v>17</v>
      </c>
      <c r="I446" s="2">
        <v>46086</v>
      </c>
      <c r="J446" s="33">
        <f t="shared" si="83"/>
        <v>50686</v>
      </c>
      <c r="K446" s="3">
        <v>5294</v>
      </c>
      <c r="L446" s="3">
        <v>40546</v>
      </c>
      <c r="M446" s="3">
        <v>3846</v>
      </c>
      <c r="N446" s="3">
        <v>0</v>
      </c>
      <c r="O446" s="3">
        <v>1000</v>
      </c>
      <c r="P446" s="1" t="s">
        <v>2117</v>
      </c>
      <c r="Q446" s="3">
        <v>295843</v>
      </c>
      <c r="R446" s="25">
        <f t="shared" si="84"/>
        <v>5.8367793868129265</v>
      </c>
      <c r="S446" s="32">
        <f t="shared" si="87"/>
        <v>50686</v>
      </c>
      <c r="T446" s="3">
        <f t="shared" si="85"/>
        <v>0</v>
      </c>
      <c r="U446" s="1" t="s">
        <v>3615</v>
      </c>
      <c r="V446" s="16">
        <v>1</v>
      </c>
      <c r="W446" s="28">
        <f t="shared" si="75"/>
        <v>1</v>
      </c>
      <c r="X446" s="27">
        <f t="shared" si="86"/>
        <v>1</v>
      </c>
      <c r="Y446" s="18"/>
      <c r="Z446" s="19"/>
    </row>
    <row r="447" spans="1:26" x14ac:dyDescent="0.35">
      <c r="A447" s="29">
        <v>1</v>
      </c>
      <c r="B447" s="1" t="s">
        <v>3621</v>
      </c>
      <c r="C447" s="1"/>
      <c r="D447" s="1" t="s">
        <v>2285</v>
      </c>
      <c r="E447" s="1" t="s">
        <v>2286</v>
      </c>
      <c r="F447" s="1" t="s">
        <v>2287</v>
      </c>
      <c r="G447" s="5" t="s">
        <v>2288</v>
      </c>
      <c r="H447" s="1" t="s">
        <v>17</v>
      </c>
      <c r="I447" s="2">
        <v>46086</v>
      </c>
      <c r="J447" s="33">
        <f t="shared" si="83"/>
        <v>57836</v>
      </c>
      <c r="K447" s="3">
        <v>7904</v>
      </c>
      <c r="L447" s="3">
        <v>44557</v>
      </c>
      <c r="M447" s="3">
        <v>4375</v>
      </c>
      <c r="N447" s="3">
        <v>0</v>
      </c>
      <c r="O447" s="3">
        <v>1000</v>
      </c>
      <c r="P447" s="1" t="s">
        <v>2289</v>
      </c>
      <c r="Q447" s="3">
        <v>74606</v>
      </c>
      <c r="R447" s="25">
        <f t="shared" si="84"/>
        <v>1.2899578117435506</v>
      </c>
      <c r="S447" s="32">
        <f t="shared" si="87"/>
        <v>57836</v>
      </c>
      <c r="T447" s="3">
        <f t="shared" si="85"/>
        <v>0</v>
      </c>
      <c r="U447" s="1" t="s">
        <v>3615</v>
      </c>
      <c r="V447" s="16">
        <v>1</v>
      </c>
      <c r="W447" s="28">
        <f t="shared" si="75"/>
        <v>1</v>
      </c>
      <c r="X447" s="27">
        <f t="shared" si="86"/>
        <v>1</v>
      </c>
      <c r="Y447" s="18"/>
      <c r="Z447" s="19"/>
    </row>
    <row r="448" spans="1:26" x14ac:dyDescent="0.35">
      <c r="A448" s="29">
        <v>1</v>
      </c>
      <c r="B448" s="1" t="s">
        <v>3621</v>
      </c>
      <c r="C448" s="1"/>
      <c r="D448" s="1" t="s">
        <v>2294</v>
      </c>
      <c r="E448" s="1" t="s">
        <v>2295</v>
      </c>
      <c r="F448" s="1" t="s">
        <v>2296</v>
      </c>
      <c r="G448" s="5" t="s">
        <v>2297</v>
      </c>
      <c r="H448" s="1" t="s">
        <v>17</v>
      </c>
      <c r="I448" s="2">
        <v>46086</v>
      </c>
      <c r="J448" s="33">
        <f t="shared" si="83"/>
        <v>139030</v>
      </c>
      <c r="K448" s="3">
        <v>19196</v>
      </c>
      <c r="L448" s="3">
        <v>108209</v>
      </c>
      <c r="M448" s="3">
        <v>10625</v>
      </c>
      <c r="N448" s="3">
        <v>0</v>
      </c>
      <c r="O448" s="3">
        <v>1000</v>
      </c>
      <c r="P448" s="1" t="s">
        <v>2298</v>
      </c>
      <c r="Q448" s="3">
        <v>0</v>
      </c>
      <c r="R448" s="25">
        <f t="shared" si="84"/>
        <v>0</v>
      </c>
      <c r="S448" s="32">
        <f>Q448</f>
        <v>0</v>
      </c>
      <c r="T448" s="31">
        <f t="shared" si="85"/>
        <v>-139030</v>
      </c>
      <c r="U448" s="1" t="s">
        <v>3616</v>
      </c>
      <c r="V448" s="16"/>
      <c r="W448" s="30">
        <f t="shared" si="75"/>
        <v>0</v>
      </c>
      <c r="X448" s="27">
        <f t="shared" si="86"/>
        <v>0</v>
      </c>
      <c r="Y448" s="18"/>
      <c r="Z448" s="19"/>
    </row>
    <row r="449" spans="1:26" x14ac:dyDescent="0.35">
      <c r="A449" s="29">
        <v>1</v>
      </c>
      <c r="B449" s="1" t="s">
        <v>3621</v>
      </c>
      <c r="C449" s="1"/>
      <c r="D449" s="1" t="s">
        <v>2241</v>
      </c>
      <c r="E449" s="1" t="s">
        <v>2242</v>
      </c>
      <c r="F449" s="1" t="s">
        <v>2243</v>
      </c>
      <c r="G449" s="5" t="s">
        <v>2244</v>
      </c>
      <c r="H449" s="1" t="s">
        <v>17</v>
      </c>
      <c r="I449" s="2">
        <v>46086</v>
      </c>
      <c r="J449" s="33">
        <f t="shared" si="83"/>
        <v>173672</v>
      </c>
      <c r="K449" s="3">
        <v>34521</v>
      </c>
      <c r="L449" s="3">
        <v>124993</v>
      </c>
      <c r="M449" s="3">
        <v>13158</v>
      </c>
      <c r="N449" s="3">
        <v>0</v>
      </c>
      <c r="O449" s="3">
        <v>1000</v>
      </c>
      <c r="P449" s="1" t="s">
        <v>2245</v>
      </c>
      <c r="Q449" s="3">
        <v>586333</v>
      </c>
      <c r="R449" s="25">
        <f t="shared" si="84"/>
        <v>3.3760940163066011</v>
      </c>
      <c r="S449" s="32">
        <f>J449</f>
        <v>173672</v>
      </c>
      <c r="T449" s="3">
        <f t="shared" si="85"/>
        <v>0</v>
      </c>
      <c r="U449" s="1" t="s">
        <v>3615</v>
      </c>
      <c r="V449" s="16">
        <v>1</v>
      </c>
      <c r="W449" s="28">
        <f t="shared" si="75"/>
        <v>1</v>
      </c>
      <c r="X449" s="27">
        <f t="shared" si="86"/>
        <v>1</v>
      </c>
      <c r="Y449" s="18"/>
      <c r="Z449" s="19"/>
    </row>
    <row r="450" spans="1:26" x14ac:dyDescent="0.35">
      <c r="A450" s="29">
        <v>1</v>
      </c>
      <c r="B450" s="1" t="s">
        <v>3621</v>
      </c>
      <c r="C450" s="1"/>
      <c r="D450" s="1" t="s">
        <v>1991</v>
      </c>
      <c r="E450" s="1" t="s">
        <v>1992</v>
      </c>
      <c r="F450" s="1" t="s">
        <v>1993</v>
      </c>
      <c r="G450" s="5" t="s">
        <v>1994</v>
      </c>
      <c r="H450" s="1" t="s">
        <v>17</v>
      </c>
      <c r="I450" s="2">
        <v>46086</v>
      </c>
      <c r="J450" s="33">
        <f t="shared" si="83"/>
        <v>30812</v>
      </c>
      <c r="K450" s="3">
        <v>2507</v>
      </c>
      <c r="L450" s="3">
        <v>24997</v>
      </c>
      <c r="M450" s="3">
        <v>2308</v>
      </c>
      <c r="N450" s="3">
        <v>0</v>
      </c>
      <c r="O450" s="3">
        <v>1000</v>
      </c>
      <c r="P450" s="1" t="s">
        <v>1995</v>
      </c>
      <c r="Q450" s="3">
        <v>7958</v>
      </c>
      <c r="R450" s="25">
        <f t="shared" si="84"/>
        <v>0.25827599636505255</v>
      </c>
      <c r="S450" s="32">
        <f>Q450</f>
        <v>7958</v>
      </c>
      <c r="T450" s="31">
        <f t="shared" si="85"/>
        <v>-22854</v>
      </c>
      <c r="U450" s="1" t="s">
        <v>3616</v>
      </c>
      <c r="V450" s="16"/>
      <c r="W450" s="30">
        <f t="shared" si="75"/>
        <v>0</v>
      </c>
      <c r="X450" s="27">
        <f t="shared" si="86"/>
        <v>0.25827599636505255</v>
      </c>
      <c r="Y450" s="18"/>
      <c r="Z450" s="19"/>
    </row>
    <row r="451" spans="1:26" x14ac:dyDescent="0.35">
      <c r="A451" s="29">
        <v>1</v>
      </c>
      <c r="B451" s="1" t="s">
        <v>3621</v>
      </c>
      <c r="C451" s="1"/>
      <c r="D451" s="1" t="s">
        <v>2405</v>
      </c>
      <c r="E451" s="1" t="s">
        <v>2406</v>
      </c>
      <c r="F451" s="1" t="s">
        <v>2407</v>
      </c>
      <c r="G451" s="5" t="s">
        <v>2408</v>
      </c>
      <c r="H451" s="1" t="s">
        <v>17</v>
      </c>
      <c r="I451" s="2">
        <v>46086</v>
      </c>
      <c r="J451" s="33">
        <f t="shared" si="83"/>
        <v>35780</v>
      </c>
      <c r="K451" s="3">
        <v>4833</v>
      </c>
      <c r="L451" s="3">
        <v>27255</v>
      </c>
      <c r="M451" s="3">
        <v>2692</v>
      </c>
      <c r="N451" s="3">
        <v>0</v>
      </c>
      <c r="O451" s="3">
        <v>1000</v>
      </c>
      <c r="P451" s="1" t="s">
        <v>2409</v>
      </c>
      <c r="Q451" s="3">
        <v>425477</v>
      </c>
      <c r="R451" s="25">
        <f t="shared" si="84"/>
        <v>11.891475684740078</v>
      </c>
      <c r="S451" s="32">
        <f t="shared" ref="S451:S462" si="88">J451</f>
        <v>35780</v>
      </c>
      <c r="T451" s="3">
        <f t="shared" si="85"/>
        <v>0</v>
      </c>
      <c r="U451" s="1" t="s">
        <v>3615</v>
      </c>
      <c r="V451" s="16">
        <v>1</v>
      </c>
      <c r="W451" s="28">
        <f t="shared" ref="W451:W514" si="89">V451/A451</f>
        <v>1</v>
      </c>
      <c r="X451" s="27">
        <f t="shared" si="86"/>
        <v>1</v>
      </c>
      <c r="Y451" s="18"/>
      <c r="Z451" s="19"/>
    </row>
    <row r="452" spans="1:26" x14ac:dyDescent="0.35">
      <c r="A452" s="29">
        <v>1</v>
      </c>
      <c r="B452" s="1" t="s">
        <v>3621</v>
      </c>
      <c r="C452" s="1"/>
      <c r="D452" s="1" t="s">
        <v>2005</v>
      </c>
      <c r="E452" s="1" t="s">
        <v>2006</v>
      </c>
      <c r="F452" s="1" t="s">
        <v>2007</v>
      </c>
      <c r="G452" s="5" t="s">
        <v>2008</v>
      </c>
      <c r="H452" s="1" t="s">
        <v>17</v>
      </c>
      <c r="I452" s="2">
        <v>46086</v>
      </c>
      <c r="J452" s="33">
        <f t="shared" ref="J452:J483" si="90">SUM(K452:O452)</f>
        <v>30812</v>
      </c>
      <c r="K452" s="3">
        <v>3826</v>
      </c>
      <c r="L452" s="3">
        <v>23678</v>
      </c>
      <c r="M452" s="3">
        <v>2308</v>
      </c>
      <c r="N452" s="3">
        <v>0</v>
      </c>
      <c r="O452" s="3">
        <v>1000</v>
      </c>
      <c r="P452" s="1" t="s">
        <v>2009</v>
      </c>
      <c r="Q452" s="3">
        <v>32473</v>
      </c>
      <c r="R452" s="25">
        <f t="shared" ref="R452:R483" si="91">Q452/J452</f>
        <v>1.0539075684798132</v>
      </c>
      <c r="S452" s="32">
        <f t="shared" si="88"/>
        <v>30812</v>
      </c>
      <c r="T452" s="3">
        <f t="shared" ref="T452:T483" si="92">S452-J452</f>
        <v>0</v>
      </c>
      <c r="U452" s="1" t="s">
        <v>3615</v>
      </c>
      <c r="V452" s="16">
        <v>1</v>
      </c>
      <c r="W452" s="28">
        <f t="shared" si="89"/>
        <v>1</v>
      </c>
      <c r="X452" s="27">
        <f t="shared" ref="X452:X483" si="93">S452/J452</f>
        <v>1</v>
      </c>
      <c r="Y452" s="18"/>
      <c r="Z452" s="19"/>
    </row>
    <row r="453" spans="1:26" x14ac:dyDescent="0.35">
      <c r="A453" s="29">
        <v>1</v>
      </c>
      <c r="B453" s="1" t="s">
        <v>3621</v>
      </c>
      <c r="C453" s="1"/>
      <c r="D453" s="1" t="s">
        <v>2271</v>
      </c>
      <c r="E453" s="1" t="s">
        <v>2272</v>
      </c>
      <c r="F453" s="1" t="s">
        <v>2273</v>
      </c>
      <c r="G453" s="5" t="s">
        <v>2274</v>
      </c>
      <c r="H453" s="1" t="s">
        <v>17</v>
      </c>
      <c r="I453" s="2">
        <v>46086</v>
      </c>
      <c r="J453" s="33">
        <f t="shared" si="90"/>
        <v>50686</v>
      </c>
      <c r="K453" s="3">
        <v>6904</v>
      </c>
      <c r="L453" s="3">
        <v>38936</v>
      </c>
      <c r="M453" s="3">
        <v>3846</v>
      </c>
      <c r="N453" s="3">
        <v>0</v>
      </c>
      <c r="O453" s="3">
        <v>1000</v>
      </c>
      <c r="P453" s="1" t="s">
        <v>2275</v>
      </c>
      <c r="Q453" s="3">
        <v>76074</v>
      </c>
      <c r="R453" s="25">
        <f t="shared" si="91"/>
        <v>1.500887819121651</v>
      </c>
      <c r="S453" s="32">
        <f t="shared" si="88"/>
        <v>50686</v>
      </c>
      <c r="T453" s="3">
        <f t="shared" si="92"/>
        <v>0</v>
      </c>
      <c r="U453" s="1" t="s">
        <v>3615</v>
      </c>
      <c r="V453" s="16">
        <v>1</v>
      </c>
      <c r="W453" s="28">
        <f t="shared" si="89"/>
        <v>1</v>
      </c>
      <c r="X453" s="27">
        <f t="shared" si="93"/>
        <v>1</v>
      </c>
      <c r="Y453" s="18"/>
      <c r="Z453" s="19"/>
    </row>
    <row r="454" spans="1:26" x14ac:dyDescent="0.35">
      <c r="A454" s="29">
        <v>1</v>
      </c>
      <c r="B454" s="1" t="s">
        <v>3621</v>
      </c>
      <c r="C454" s="1"/>
      <c r="D454" s="1" t="s">
        <v>1933</v>
      </c>
      <c r="E454" s="1" t="s">
        <v>1934</v>
      </c>
      <c r="F454" s="1" t="s">
        <v>1935</v>
      </c>
      <c r="G454" s="5" t="s">
        <v>1936</v>
      </c>
      <c r="H454" s="1" t="s">
        <v>17</v>
      </c>
      <c r="I454" s="2">
        <v>46086</v>
      </c>
      <c r="J454" s="33">
        <f t="shared" si="90"/>
        <v>208206</v>
      </c>
      <c r="K454" s="3">
        <v>39415</v>
      </c>
      <c r="L454" s="3">
        <v>152002</v>
      </c>
      <c r="M454" s="3">
        <v>15789</v>
      </c>
      <c r="N454" s="3">
        <v>0</v>
      </c>
      <c r="O454" s="3">
        <v>1000</v>
      </c>
      <c r="P454" s="1" t="s">
        <v>1937</v>
      </c>
      <c r="Q454" s="3">
        <v>356350</v>
      </c>
      <c r="R454" s="25">
        <f t="shared" si="91"/>
        <v>1.7115260847429949</v>
      </c>
      <c r="S454" s="32">
        <f t="shared" si="88"/>
        <v>208206</v>
      </c>
      <c r="T454" s="3">
        <f t="shared" si="92"/>
        <v>0</v>
      </c>
      <c r="U454" s="1" t="s">
        <v>3615</v>
      </c>
      <c r="V454" s="16">
        <v>1</v>
      </c>
      <c r="W454" s="28">
        <f t="shared" si="89"/>
        <v>1</v>
      </c>
      <c r="X454" s="27">
        <f t="shared" si="93"/>
        <v>1</v>
      </c>
      <c r="Y454" s="18"/>
      <c r="Z454" s="19"/>
    </row>
    <row r="455" spans="1:26" x14ac:dyDescent="0.35">
      <c r="A455" s="29">
        <v>1</v>
      </c>
      <c r="B455" s="1" t="s">
        <v>3621</v>
      </c>
      <c r="C455" s="1"/>
      <c r="D455" s="1" t="s">
        <v>2390</v>
      </c>
      <c r="E455" s="1" t="s">
        <v>2391</v>
      </c>
      <c r="F455" s="1" t="s">
        <v>2392</v>
      </c>
      <c r="G455" s="5" t="s">
        <v>2393</v>
      </c>
      <c r="H455" s="1" t="s">
        <v>17</v>
      </c>
      <c r="I455" s="2">
        <v>46086</v>
      </c>
      <c r="J455" s="33">
        <f t="shared" si="90"/>
        <v>30955</v>
      </c>
      <c r="K455" s="3">
        <v>4373</v>
      </c>
      <c r="L455" s="3">
        <v>23274</v>
      </c>
      <c r="M455" s="3">
        <v>2308</v>
      </c>
      <c r="N455" s="3">
        <v>0</v>
      </c>
      <c r="O455" s="3">
        <v>1000</v>
      </c>
      <c r="P455" s="1" t="s">
        <v>2394</v>
      </c>
      <c r="Q455" s="3">
        <v>39781</v>
      </c>
      <c r="R455" s="25">
        <f t="shared" si="91"/>
        <v>1.2851235664674527</v>
      </c>
      <c r="S455" s="32">
        <f t="shared" si="88"/>
        <v>30955</v>
      </c>
      <c r="T455" s="3">
        <f t="shared" si="92"/>
        <v>0</v>
      </c>
      <c r="U455" s="1" t="s">
        <v>3615</v>
      </c>
      <c r="V455" s="16">
        <v>1</v>
      </c>
      <c r="W455" s="28">
        <f t="shared" si="89"/>
        <v>1</v>
      </c>
      <c r="X455" s="27">
        <f t="shared" si="93"/>
        <v>1</v>
      </c>
      <c r="Y455" s="18"/>
      <c r="Z455" s="19"/>
    </row>
    <row r="456" spans="1:26" x14ac:dyDescent="0.35">
      <c r="A456" s="29">
        <v>1</v>
      </c>
      <c r="B456" s="1" t="s">
        <v>3621</v>
      </c>
      <c r="C456" s="1"/>
      <c r="D456" s="1" t="s">
        <v>2044</v>
      </c>
      <c r="E456" s="1" t="s">
        <v>2045</v>
      </c>
      <c r="F456" s="1" t="s">
        <v>2046</v>
      </c>
      <c r="G456" s="5" t="s">
        <v>2047</v>
      </c>
      <c r="H456" s="1" t="s">
        <v>17</v>
      </c>
      <c r="I456" s="2">
        <v>46086</v>
      </c>
      <c r="J456" s="33">
        <f t="shared" si="90"/>
        <v>140093</v>
      </c>
      <c r="K456" s="3">
        <v>29151</v>
      </c>
      <c r="L456" s="3">
        <v>99416</v>
      </c>
      <c r="M456" s="3">
        <v>10526</v>
      </c>
      <c r="N456" s="3">
        <v>0</v>
      </c>
      <c r="O456" s="3">
        <v>1000</v>
      </c>
      <c r="P456" s="1" t="s">
        <v>2048</v>
      </c>
      <c r="Q456" s="3">
        <v>436000</v>
      </c>
      <c r="R456" s="25">
        <f t="shared" si="91"/>
        <v>3.1122183121212337</v>
      </c>
      <c r="S456" s="32">
        <f t="shared" si="88"/>
        <v>140093</v>
      </c>
      <c r="T456" s="3">
        <f t="shared" si="92"/>
        <v>0</v>
      </c>
      <c r="U456" s="1" t="s">
        <v>3615</v>
      </c>
      <c r="V456" s="16">
        <v>1</v>
      </c>
      <c r="W456" s="28">
        <f t="shared" si="89"/>
        <v>1</v>
      </c>
      <c r="X456" s="27">
        <f t="shared" si="93"/>
        <v>1</v>
      </c>
      <c r="Y456" s="18"/>
      <c r="Z456" s="19"/>
    </row>
    <row r="457" spans="1:26" x14ac:dyDescent="0.35">
      <c r="A457" s="29">
        <v>1</v>
      </c>
      <c r="B457" s="1" t="s">
        <v>3621</v>
      </c>
      <c r="C457" s="1"/>
      <c r="D457" s="1" t="s">
        <v>1953</v>
      </c>
      <c r="E457" s="1" t="s">
        <v>1954</v>
      </c>
      <c r="F457" s="1" t="s">
        <v>1955</v>
      </c>
      <c r="G457" s="5" t="s">
        <v>1956</v>
      </c>
      <c r="H457" s="1" t="s">
        <v>32</v>
      </c>
      <c r="I457" s="2">
        <v>46086</v>
      </c>
      <c r="J457" s="33">
        <f t="shared" si="90"/>
        <v>175818</v>
      </c>
      <c r="K457" s="3">
        <v>20455</v>
      </c>
      <c r="L457" s="3">
        <v>141030</v>
      </c>
      <c r="M457" s="3">
        <v>13333</v>
      </c>
      <c r="N457" s="3">
        <v>0</v>
      </c>
      <c r="O457" s="3">
        <v>1000</v>
      </c>
      <c r="P457" s="1" t="s">
        <v>1957</v>
      </c>
      <c r="Q457" s="3">
        <v>302924</v>
      </c>
      <c r="R457" s="25">
        <f t="shared" si="91"/>
        <v>1.7229407682944864</v>
      </c>
      <c r="S457" s="32">
        <f t="shared" si="88"/>
        <v>175818</v>
      </c>
      <c r="T457" s="3">
        <f t="shared" si="92"/>
        <v>0</v>
      </c>
      <c r="U457" s="1" t="s">
        <v>3615</v>
      </c>
      <c r="V457" s="16">
        <v>1</v>
      </c>
      <c r="W457" s="28">
        <f t="shared" si="89"/>
        <v>1</v>
      </c>
      <c r="X457" s="27">
        <f t="shared" si="93"/>
        <v>1</v>
      </c>
      <c r="Y457" s="18"/>
      <c r="Z457" s="19"/>
    </row>
    <row r="458" spans="1:26" x14ac:dyDescent="0.35">
      <c r="A458" s="29">
        <v>1</v>
      </c>
      <c r="B458" s="1" t="s">
        <v>3621</v>
      </c>
      <c r="C458" s="1"/>
      <c r="D458" s="1" t="s">
        <v>2094</v>
      </c>
      <c r="E458" s="1" t="s">
        <v>2095</v>
      </c>
      <c r="F458" s="1" t="s">
        <v>2096</v>
      </c>
      <c r="G458" s="5" t="s">
        <v>2097</v>
      </c>
      <c r="H458" s="1" t="s">
        <v>17</v>
      </c>
      <c r="I458" s="2">
        <v>46086</v>
      </c>
      <c r="J458" s="33">
        <f t="shared" si="90"/>
        <v>58169</v>
      </c>
      <c r="K458" s="3">
        <v>8353</v>
      </c>
      <c r="L458" s="3">
        <v>44441</v>
      </c>
      <c r="M458" s="3">
        <v>4375</v>
      </c>
      <c r="N458" s="3">
        <v>0</v>
      </c>
      <c r="O458" s="3">
        <v>1000</v>
      </c>
      <c r="P458" s="1" t="s">
        <v>2098</v>
      </c>
      <c r="Q458" s="3">
        <v>111553</v>
      </c>
      <c r="R458" s="25">
        <f t="shared" si="91"/>
        <v>1.9177396895253485</v>
      </c>
      <c r="S458" s="32">
        <f t="shared" si="88"/>
        <v>58169</v>
      </c>
      <c r="T458" s="3">
        <f t="shared" si="92"/>
        <v>0</v>
      </c>
      <c r="U458" s="1" t="s">
        <v>3615</v>
      </c>
      <c r="V458" s="16">
        <v>1</v>
      </c>
      <c r="W458" s="28">
        <f t="shared" si="89"/>
        <v>1</v>
      </c>
      <c r="X458" s="27">
        <f t="shared" si="93"/>
        <v>1</v>
      </c>
      <c r="Y458" s="18"/>
      <c r="Z458" s="19"/>
    </row>
    <row r="459" spans="1:26" x14ac:dyDescent="0.35">
      <c r="A459" s="29">
        <v>1</v>
      </c>
      <c r="B459" s="1" t="s">
        <v>3621</v>
      </c>
      <c r="C459" s="1"/>
      <c r="D459" s="1" t="s">
        <v>2395</v>
      </c>
      <c r="E459" s="1" t="s">
        <v>2396</v>
      </c>
      <c r="F459" s="1" t="s">
        <v>2397</v>
      </c>
      <c r="G459" s="5" t="s">
        <v>2398</v>
      </c>
      <c r="H459" s="1" t="s">
        <v>17</v>
      </c>
      <c r="I459" s="2">
        <v>46086</v>
      </c>
      <c r="J459" s="33">
        <f t="shared" si="90"/>
        <v>100372</v>
      </c>
      <c r="K459" s="3">
        <v>13808</v>
      </c>
      <c r="L459" s="3">
        <v>77872</v>
      </c>
      <c r="M459" s="3">
        <v>7692</v>
      </c>
      <c r="N459" s="3">
        <v>0</v>
      </c>
      <c r="O459" s="3">
        <v>1000</v>
      </c>
      <c r="P459" s="1" t="s">
        <v>2399</v>
      </c>
      <c r="Q459" s="3">
        <v>118702</v>
      </c>
      <c r="R459" s="25">
        <f t="shared" si="91"/>
        <v>1.1826206511776192</v>
      </c>
      <c r="S459" s="32">
        <f t="shared" si="88"/>
        <v>100372</v>
      </c>
      <c r="T459" s="3">
        <f t="shared" si="92"/>
        <v>0</v>
      </c>
      <c r="U459" s="1" t="s">
        <v>3615</v>
      </c>
      <c r="V459" s="16">
        <v>1</v>
      </c>
      <c r="W459" s="28">
        <f t="shared" si="89"/>
        <v>1</v>
      </c>
      <c r="X459" s="27">
        <f t="shared" si="93"/>
        <v>1</v>
      </c>
      <c r="Y459" s="18"/>
      <c r="Z459" s="19"/>
    </row>
    <row r="460" spans="1:26" x14ac:dyDescent="0.35">
      <c r="A460" s="29">
        <v>1</v>
      </c>
      <c r="B460" s="1" t="s">
        <v>3621</v>
      </c>
      <c r="C460" s="1"/>
      <c r="D460" s="1" t="s">
        <v>2380</v>
      </c>
      <c r="E460" s="1" t="s">
        <v>2381</v>
      </c>
      <c r="F460" s="1" t="s">
        <v>2382</v>
      </c>
      <c r="G460" s="5" t="s">
        <v>2383</v>
      </c>
      <c r="H460" s="1" t="s">
        <v>17</v>
      </c>
      <c r="I460" s="2">
        <v>46086</v>
      </c>
      <c r="J460" s="33">
        <f t="shared" si="90"/>
        <v>82194</v>
      </c>
      <c r="K460" s="3">
        <v>13808</v>
      </c>
      <c r="L460" s="3">
        <v>61136</v>
      </c>
      <c r="M460" s="3">
        <v>6250</v>
      </c>
      <c r="N460" s="3">
        <v>0</v>
      </c>
      <c r="O460" s="3">
        <v>1000</v>
      </c>
      <c r="P460" s="1" t="s">
        <v>2384</v>
      </c>
      <c r="Q460" s="3">
        <v>360316</v>
      </c>
      <c r="R460" s="25">
        <f t="shared" si="91"/>
        <v>4.3837263060564036</v>
      </c>
      <c r="S460" s="32">
        <f t="shared" si="88"/>
        <v>82194</v>
      </c>
      <c r="T460" s="3">
        <f t="shared" si="92"/>
        <v>0</v>
      </c>
      <c r="U460" s="1" t="s">
        <v>3615</v>
      </c>
      <c r="V460" s="16">
        <v>1</v>
      </c>
      <c r="W460" s="28">
        <f t="shared" si="89"/>
        <v>1</v>
      </c>
      <c r="X460" s="27">
        <f t="shared" si="93"/>
        <v>1</v>
      </c>
      <c r="Y460" s="18"/>
      <c r="Z460" s="19"/>
    </row>
    <row r="461" spans="1:26" x14ac:dyDescent="0.35">
      <c r="A461" s="29">
        <v>1</v>
      </c>
      <c r="B461" s="1" t="s">
        <v>3621</v>
      </c>
      <c r="C461" s="1"/>
      <c r="D461" s="1" t="s">
        <v>1908</v>
      </c>
      <c r="E461" s="1" t="s">
        <v>1909</v>
      </c>
      <c r="F461" s="1" t="s">
        <v>1910</v>
      </c>
      <c r="G461" s="5" t="s">
        <v>1911</v>
      </c>
      <c r="H461" s="1" t="s">
        <v>17</v>
      </c>
      <c r="I461" s="2">
        <v>46086</v>
      </c>
      <c r="J461" s="33">
        <f t="shared" si="90"/>
        <v>163389</v>
      </c>
      <c r="K461" s="3">
        <v>24296</v>
      </c>
      <c r="L461" s="3">
        <v>125593</v>
      </c>
      <c r="M461" s="3">
        <v>12500</v>
      </c>
      <c r="N461" s="3">
        <v>0</v>
      </c>
      <c r="O461" s="3">
        <v>1000</v>
      </c>
      <c r="P461" s="1" t="s">
        <v>1912</v>
      </c>
      <c r="Q461" s="3">
        <v>444391</v>
      </c>
      <c r="R461" s="25">
        <f t="shared" si="91"/>
        <v>2.7198342605683368</v>
      </c>
      <c r="S461" s="32">
        <f t="shared" si="88"/>
        <v>163389</v>
      </c>
      <c r="T461" s="3">
        <f t="shared" si="92"/>
        <v>0</v>
      </c>
      <c r="U461" s="1" t="s">
        <v>3615</v>
      </c>
      <c r="V461" s="16">
        <v>1</v>
      </c>
      <c r="W461" s="28">
        <f t="shared" si="89"/>
        <v>1</v>
      </c>
      <c r="X461" s="27">
        <f t="shared" si="93"/>
        <v>1</v>
      </c>
      <c r="Y461" s="18"/>
      <c r="Z461" s="19"/>
    </row>
    <row r="462" spans="1:26" x14ac:dyDescent="0.35">
      <c r="A462" s="29">
        <v>1</v>
      </c>
      <c r="B462" s="1" t="s">
        <v>3621</v>
      </c>
      <c r="C462" s="1"/>
      <c r="D462" s="1" t="s">
        <v>2428</v>
      </c>
      <c r="E462" s="1" t="s">
        <v>2429</v>
      </c>
      <c r="F462" s="1" t="s">
        <v>2430</v>
      </c>
      <c r="G462" s="5" t="s">
        <v>2431</v>
      </c>
      <c r="H462" s="1" t="s">
        <v>17</v>
      </c>
      <c r="I462" s="2">
        <v>46086</v>
      </c>
      <c r="J462" s="33">
        <f t="shared" si="90"/>
        <v>77337</v>
      </c>
      <c r="K462" s="3">
        <v>53260</v>
      </c>
      <c r="L462" s="3">
        <v>0</v>
      </c>
      <c r="M462" s="3">
        <v>23077</v>
      </c>
      <c r="N462" s="3">
        <v>0</v>
      </c>
      <c r="O462" s="3">
        <v>1000</v>
      </c>
      <c r="P462" s="1" t="s">
        <v>2432</v>
      </c>
      <c r="Q462" s="3">
        <v>351962</v>
      </c>
      <c r="R462" s="25">
        <f t="shared" si="91"/>
        <v>4.5510169776433012</v>
      </c>
      <c r="S462" s="32">
        <f t="shared" si="88"/>
        <v>77337</v>
      </c>
      <c r="T462" s="3">
        <f t="shared" si="92"/>
        <v>0</v>
      </c>
      <c r="U462" s="1" t="s">
        <v>3615</v>
      </c>
      <c r="V462" s="16">
        <v>1</v>
      </c>
      <c r="W462" s="28">
        <f t="shared" si="89"/>
        <v>1</v>
      </c>
      <c r="X462" s="27">
        <f t="shared" si="93"/>
        <v>1</v>
      </c>
      <c r="Y462" s="18"/>
      <c r="Z462" s="19"/>
    </row>
    <row r="463" spans="1:26" x14ac:dyDescent="0.35">
      <c r="A463" s="29">
        <v>1</v>
      </c>
      <c r="B463" s="1" t="s">
        <v>3621</v>
      </c>
      <c r="C463" s="1"/>
      <c r="D463" s="1" t="s">
        <v>2127</v>
      </c>
      <c r="E463" s="1" t="s">
        <v>2128</v>
      </c>
      <c r="F463" s="1" t="s">
        <v>2129</v>
      </c>
      <c r="G463" s="5" t="s">
        <v>2130</v>
      </c>
      <c r="H463" s="1" t="s">
        <v>17</v>
      </c>
      <c r="I463" s="2">
        <v>46086</v>
      </c>
      <c r="J463" s="33">
        <f t="shared" si="90"/>
        <v>60623</v>
      </c>
      <c r="K463" s="3">
        <v>7652</v>
      </c>
      <c r="L463" s="3">
        <v>47356</v>
      </c>
      <c r="M463" s="3">
        <v>4615</v>
      </c>
      <c r="N463" s="3">
        <v>0</v>
      </c>
      <c r="O463" s="3">
        <v>1000</v>
      </c>
      <c r="P463" s="1" t="s">
        <v>2131</v>
      </c>
      <c r="Q463" s="3">
        <v>8141</v>
      </c>
      <c r="R463" s="25">
        <f t="shared" si="91"/>
        <v>0.1342889662339376</v>
      </c>
      <c r="S463" s="32">
        <f>Q463</f>
        <v>8141</v>
      </c>
      <c r="T463" s="31">
        <f t="shared" si="92"/>
        <v>-52482</v>
      </c>
      <c r="U463" s="1" t="s">
        <v>3616</v>
      </c>
      <c r="V463" s="16"/>
      <c r="W463" s="30">
        <f t="shared" si="89"/>
        <v>0</v>
      </c>
      <c r="X463" s="27">
        <f t="shared" si="93"/>
        <v>0.1342889662339376</v>
      </c>
      <c r="Y463" s="18"/>
      <c r="Z463" s="19"/>
    </row>
    <row r="464" spans="1:26" x14ac:dyDescent="0.35">
      <c r="A464" s="29">
        <v>1</v>
      </c>
      <c r="B464" s="1" t="s">
        <v>3621</v>
      </c>
      <c r="C464" s="1"/>
      <c r="D464" s="1" t="s">
        <v>2019</v>
      </c>
      <c r="E464" s="1" t="s">
        <v>2020</v>
      </c>
      <c r="F464" s="1" t="s">
        <v>2021</v>
      </c>
      <c r="G464" s="5" t="s">
        <v>2022</v>
      </c>
      <c r="H464" s="1" t="s">
        <v>467</v>
      </c>
      <c r="I464" s="2">
        <v>46086</v>
      </c>
      <c r="J464" s="33">
        <f t="shared" si="90"/>
        <v>11605</v>
      </c>
      <c r="K464" s="3">
        <v>808</v>
      </c>
      <c r="L464" s="3">
        <v>9797</v>
      </c>
      <c r="M464" s="3">
        <v>0</v>
      </c>
      <c r="N464" s="3">
        <v>0</v>
      </c>
      <c r="O464" s="3">
        <v>1000</v>
      </c>
      <c r="P464" s="1" t="s">
        <v>2023</v>
      </c>
      <c r="Q464" s="3">
        <v>44329</v>
      </c>
      <c r="R464" s="25">
        <f t="shared" si="91"/>
        <v>3.819819043515726</v>
      </c>
      <c r="S464" s="32">
        <f t="shared" ref="S464:S470" si="94">J464</f>
        <v>11605</v>
      </c>
      <c r="T464" s="3">
        <f t="shared" si="92"/>
        <v>0</v>
      </c>
      <c r="U464" s="1" t="s">
        <v>3615</v>
      </c>
      <c r="V464" s="16">
        <v>1</v>
      </c>
      <c r="W464" s="28">
        <f t="shared" si="89"/>
        <v>1</v>
      </c>
      <c r="X464" s="27">
        <f t="shared" si="93"/>
        <v>1</v>
      </c>
      <c r="Y464" s="18"/>
      <c r="Z464" s="19"/>
    </row>
    <row r="465" spans="1:26" x14ac:dyDescent="0.35">
      <c r="A465" s="29">
        <v>1</v>
      </c>
      <c r="B465" s="1" t="s">
        <v>3621</v>
      </c>
      <c r="C465" s="1"/>
      <c r="D465" s="1" t="s">
        <v>2034</v>
      </c>
      <c r="E465" s="1" t="s">
        <v>2035</v>
      </c>
      <c r="F465" s="1" t="s">
        <v>2036</v>
      </c>
      <c r="G465" s="5" t="s">
        <v>2037</v>
      </c>
      <c r="H465" s="1" t="s">
        <v>17</v>
      </c>
      <c r="I465" s="2">
        <v>46086</v>
      </c>
      <c r="J465" s="33">
        <f t="shared" si="90"/>
        <v>50686</v>
      </c>
      <c r="K465" s="3">
        <v>6904</v>
      </c>
      <c r="L465" s="3">
        <v>38936</v>
      </c>
      <c r="M465" s="3">
        <v>3846</v>
      </c>
      <c r="N465" s="3">
        <v>0</v>
      </c>
      <c r="O465" s="3">
        <v>1000</v>
      </c>
      <c r="P465" s="1" t="s">
        <v>2038</v>
      </c>
      <c r="Q465" s="3">
        <v>95745</v>
      </c>
      <c r="R465" s="25">
        <f t="shared" si="91"/>
        <v>1.8889831511660025</v>
      </c>
      <c r="S465" s="32">
        <f t="shared" si="94"/>
        <v>50686</v>
      </c>
      <c r="T465" s="3">
        <f t="shared" si="92"/>
        <v>0</v>
      </c>
      <c r="U465" s="1" t="s">
        <v>3615</v>
      </c>
      <c r="V465" s="16">
        <v>1</v>
      </c>
      <c r="W465" s="28">
        <f t="shared" si="89"/>
        <v>1</v>
      </c>
      <c r="X465" s="27">
        <f t="shared" si="93"/>
        <v>1</v>
      </c>
      <c r="Y465" s="18"/>
      <c r="Z465" s="19"/>
    </row>
    <row r="466" spans="1:26" x14ac:dyDescent="0.35">
      <c r="A466" s="29">
        <v>1</v>
      </c>
      <c r="B466" s="1" t="s">
        <v>3621</v>
      </c>
      <c r="C466" s="1"/>
      <c r="D466" s="1" t="s">
        <v>2039</v>
      </c>
      <c r="E466" s="1" t="s">
        <v>2040</v>
      </c>
      <c r="F466" s="1" t="s">
        <v>2041</v>
      </c>
      <c r="G466" s="5" t="s">
        <v>2042</v>
      </c>
      <c r="H466" s="1" t="s">
        <v>17</v>
      </c>
      <c r="I466" s="2">
        <v>46086</v>
      </c>
      <c r="J466" s="33">
        <f t="shared" si="90"/>
        <v>150058</v>
      </c>
      <c r="K466" s="3">
        <v>20712</v>
      </c>
      <c r="L466" s="3">
        <v>116808</v>
      </c>
      <c r="M466" s="3">
        <v>11538</v>
      </c>
      <c r="N466" s="3">
        <v>0</v>
      </c>
      <c r="O466" s="3">
        <v>1000</v>
      </c>
      <c r="P466" s="1" t="s">
        <v>2043</v>
      </c>
      <c r="Q466" s="3">
        <v>253891</v>
      </c>
      <c r="R466" s="25">
        <f t="shared" si="91"/>
        <v>1.6919524450545789</v>
      </c>
      <c r="S466" s="32">
        <f t="shared" si="94"/>
        <v>150058</v>
      </c>
      <c r="T466" s="3">
        <f t="shared" si="92"/>
        <v>0</v>
      </c>
      <c r="U466" s="1" t="s">
        <v>3615</v>
      </c>
      <c r="V466" s="16">
        <v>1</v>
      </c>
      <c r="W466" s="28">
        <f t="shared" si="89"/>
        <v>1</v>
      </c>
      <c r="X466" s="27">
        <f t="shared" si="93"/>
        <v>1</v>
      </c>
      <c r="Y466" s="18"/>
      <c r="Z466" s="19"/>
    </row>
    <row r="467" spans="1:26" x14ac:dyDescent="0.35">
      <c r="A467" s="29">
        <v>1</v>
      </c>
      <c r="B467" s="1" t="s">
        <v>3621</v>
      </c>
      <c r="C467" s="1"/>
      <c r="D467" s="1" t="s">
        <v>2463</v>
      </c>
      <c r="E467" s="1" t="s">
        <v>2464</v>
      </c>
      <c r="F467" s="1" t="s">
        <v>2465</v>
      </c>
      <c r="G467" s="5" t="s">
        <v>2466</v>
      </c>
      <c r="H467" s="1" t="s">
        <v>17</v>
      </c>
      <c r="I467" s="2">
        <v>46086</v>
      </c>
      <c r="J467" s="33">
        <f t="shared" si="90"/>
        <v>25003</v>
      </c>
      <c r="K467" s="3">
        <v>17753</v>
      </c>
      <c r="L467" s="3">
        <v>0</v>
      </c>
      <c r="M467" s="3">
        <v>6250</v>
      </c>
      <c r="N467" s="3">
        <v>0</v>
      </c>
      <c r="O467" s="3">
        <v>1000</v>
      </c>
      <c r="P467" s="1" t="s">
        <v>2467</v>
      </c>
      <c r="Q467" s="3">
        <v>204025</v>
      </c>
      <c r="R467" s="25">
        <f t="shared" si="91"/>
        <v>8.1600207975043002</v>
      </c>
      <c r="S467" s="32">
        <f t="shared" si="94"/>
        <v>25003</v>
      </c>
      <c r="T467" s="3">
        <f t="shared" si="92"/>
        <v>0</v>
      </c>
      <c r="U467" s="1" t="s">
        <v>3615</v>
      </c>
      <c r="V467" s="16">
        <v>1</v>
      </c>
      <c r="W467" s="28">
        <f t="shared" si="89"/>
        <v>1</v>
      </c>
      <c r="X467" s="27">
        <f t="shared" si="93"/>
        <v>1</v>
      </c>
      <c r="Y467" s="18"/>
      <c r="Z467" s="19"/>
    </row>
    <row r="468" spans="1:26" x14ac:dyDescent="0.35">
      <c r="A468" s="29">
        <v>1</v>
      </c>
      <c r="B468" s="1" t="s">
        <v>3621</v>
      </c>
      <c r="C468" s="1"/>
      <c r="D468" s="1" t="s">
        <v>2049</v>
      </c>
      <c r="E468" s="1" t="s">
        <v>2050</v>
      </c>
      <c r="F468" s="1" t="s">
        <v>2051</v>
      </c>
      <c r="G468" s="5" t="s">
        <v>2052</v>
      </c>
      <c r="H468" s="1" t="s">
        <v>17</v>
      </c>
      <c r="I468" s="2">
        <v>46086</v>
      </c>
      <c r="J468" s="33">
        <f t="shared" si="90"/>
        <v>50924</v>
      </c>
      <c r="K468" s="3">
        <v>7288</v>
      </c>
      <c r="L468" s="3">
        <v>38790</v>
      </c>
      <c r="M468" s="3">
        <v>3846</v>
      </c>
      <c r="N468" s="3">
        <v>0</v>
      </c>
      <c r="O468" s="3">
        <v>1000</v>
      </c>
      <c r="P468" s="1" t="s">
        <v>2053</v>
      </c>
      <c r="Q468" s="3">
        <v>939336</v>
      </c>
      <c r="R468" s="25">
        <f t="shared" si="91"/>
        <v>18.44584086089074</v>
      </c>
      <c r="S468" s="32">
        <f t="shared" si="94"/>
        <v>50924</v>
      </c>
      <c r="T468" s="3">
        <f t="shared" si="92"/>
        <v>0</v>
      </c>
      <c r="U468" s="1" t="s">
        <v>3615</v>
      </c>
      <c r="V468" s="16">
        <v>1</v>
      </c>
      <c r="W468" s="28">
        <f t="shared" si="89"/>
        <v>1</v>
      </c>
      <c r="X468" s="27">
        <f t="shared" si="93"/>
        <v>1</v>
      </c>
      <c r="Y468" s="18"/>
      <c r="Z468" s="19"/>
    </row>
    <row r="469" spans="1:26" x14ac:dyDescent="0.35">
      <c r="A469" s="29">
        <v>1</v>
      </c>
      <c r="B469" s="1" t="s">
        <v>3621</v>
      </c>
      <c r="C469" s="1"/>
      <c r="D469" s="1" t="s">
        <v>2029</v>
      </c>
      <c r="E469" s="1" t="s">
        <v>2030</v>
      </c>
      <c r="F469" s="1" t="s">
        <v>2031</v>
      </c>
      <c r="G469" s="5" t="s">
        <v>2032</v>
      </c>
      <c r="H469" s="1" t="s">
        <v>17</v>
      </c>
      <c r="I469" s="2">
        <v>46086</v>
      </c>
      <c r="J469" s="33">
        <f t="shared" si="90"/>
        <v>82194</v>
      </c>
      <c r="K469" s="3">
        <v>13808</v>
      </c>
      <c r="L469" s="3">
        <v>61136</v>
      </c>
      <c r="M469" s="3">
        <v>6250</v>
      </c>
      <c r="N469" s="3">
        <v>0</v>
      </c>
      <c r="O469" s="3">
        <v>1000</v>
      </c>
      <c r="P469" s="1" t="s">
        <v>2033</v>
      </c>
      <c r="Q469" s="3">
        <v>531104</v>
      </c>
      <c r="R469" s="25">
        <f t="shared" si="91"/>
        <v>6.4615908703798333</v>
      </c>
      <c r="S469" s="32">
        <f t="shared" si="94"/>
        <v>82194</v>
      </c>
      <c r="T469" s="3">
        <f t="shared" si="92"/>
        <v>0</v>
      </c>
      <c r="U469" s="1" t="s">
        <v>3615</v>
      </c>
      <c r="V469" s="16">
        <v>1</v>
      </c>
      <c r="W469" s="28">
        <f t="shared" si="89"/>
        <v>1</v>
      </c>
      <c r="X469" s="27">
        <f t="shared" si="93"/>
        <v>1</v>
      </c>
      <c r="Y469" s="18"/>
      <c r="Z469" s="19"/>
    </row>
    <row r="470" spans="1:26" x14ac:dyDescent="0.35">
      <c r="A470" s="29">
        <v>1</v>
      </c>
      <c r="B470" s="1" t="s">
        <v>3621</v>
      </c>
      <c r="C470" s="1"/>
      <c r="D470" s="1" t="s">
        <v>2365</v>
      </c>
      <c r="E470" s="1" t="s">
        <v>2366</v>
      </c>
      <c r="F470" s="1" t="s">
        <v>2367</v>
      </c>
      <c r="G470" s="5" t="s">
        <v>2368</v>
      </c>
      <c r="H470" s="1" t="s">
        <v>17</v>
      </c>
      <c r="I470" s="2">
        <v>46086</v>
      </c>
      <c r="J470" s="33">
        <f t="shared" si="90"/>
        <v>25843</v>
      </c>
      <c r="K470" s="3">
        <v>3452</v>
      </c>
      <c r="L470" s="3">
        <v>19468</v>
      </c>
      <c r="M470" s="3">
        <v>1923</v>
      </c>
      <c r="N470" s="3">
        <v>0</v>
      </c>
      <c r="O470" s="3">
        <v>1000</v>
      </c>
      <c r="P470" s="1" t="s">
        <v>2369</v>
      </c>
      <c r="Q470" s="3">
        <v>143508</v>
      </c>
      <c r="R470" s="25">
        <f t="shared" si="91"/>
        <v>5.5530704639554234</v>
      </c>
      <c r="S470" s="32">
        <f t="shared" si="94"/>
        <v>25843</v>
      </c>
      <c r="T470" s="3">
        <f t="shared" si="92"/>
        <v>0</v>
      </c>
      <c r="U470" s="1" t="s">
        <v>3615</v>
      </c>
      <c r="V470" s="16">
        <v>1</v>
      </c>
      <c r="W470" s="28">
        <f t="shared" si="89"/>
        <v>1</v>
      </c>
      <c r="X470" s="27">
        <f t="shared" si="93"/>
        <v>1</v>
      </c>
      <c r="Y470" s="18"/>
      <c r="Z470" s="19"/>
    </row>
    <row r="471" spans="1:26" x14ac:dyDescent="0.35">
      <c r="A471" s="29">
        <v>1</v>
      </c>
      <c r="B471" s="1" t="s">
        <v>3621</v>
      </c>
      <c r="C471" s="1"/>
      <c r="D471" s="1" t="s">
        <v>2350</v>
      </c>
      <c r="E471" s="1" t="s">
        <v>2351</v>
      </c>
      <c r="F471" s="1" t="s">
        <v>2352</v>
      </c>
      <c r="G471" s="5" t="s">
        <v>2353</v>
      </c>
      <c r="H471" s="1" t="s">
        <v>17</v>
      </c>
      <c r="I471" s="2">
        <v>46086</v>
      </c>
      <c r="J471" s="33">
        <f t="shared" si="90"/>
        <v>13723</v>
      </c>
      <c r="K471" s="3">
        <v>8877</v>
      </c>
      <c r="L471" s="3">
        <v>0</v>
      </c>
      <c r="M471" s="3">
        <v>3846</v>
      </c>
      <c r="N471" s="3">
        <v>0</v>
      </c>
      <c r="O471" s="3">
        <v>1000</v>
      </c>
      <c r="P471" s="1" t="s">
        <v>2354</v>
      </c>
      <c r="Q471" s="3">
        <v>1298</v>
      </c>
      <c r="R471" s="25">
        <f t="shared" si="91"/>
        <v>9.4585731982802596E-2</v>
      </c>
      <c r="S471" s="32">
        <f>Q471</f>
        <v>1298</v>
      </c>
      <c r="T471" s="31">
        <f t="shared" si="92"/>
        <v>-12425</v>
      </c>
      <c r="U471" s="1" t="s">
        <v>3616</v>
      </c>
      <c r="V471" s="16"/>
      <c r="W471" s="30">
        <f t="shared" si="89"/>
        <v>0</v>
      </c>
      <c r="X471" s="27">
        <f t="shared" si="93"/>
        <v>9.4585731982802596E-2</v>
      </c>
      <c r="Y471" s="18"/>
      <c r="Z471" s="19"/>
    </row>
    <row r="472" spans="1:26" x14ac:dyDescent="0.35">
      <c r="A472" s="29">
        <v>1</v>
      </c>
      <c r="B472" s="1" t="s">
        <v>3621</v>
      </c>
      <c r="C472" s="1"/>
      <c r="D472" s="1" t="s">
        <v>2072</v>
      </c>
      <c r="E472" s="1" t="s">
        <v>2073</v>
      </c>
      <c r="F472" s="1" t="s">
        <v>2074</v>
      </c>
      <c r="G472" s="5" t="s">
        <v>2075</v>
      </c>
      <c r="H472" s="1" t="s">
        <v>17</v>
      </c>
      <c r="I472" s="2">
        <v>46086</v>
      </c>
      <c r="J472" s="33">
        <f t="shared" si="90"/>
        <v>15906</v>
      </c>
      <c r="K472" s="3">
        <v>1254</v>
      </c>
      <c r="L472" s="3">
        <v>12498</v>
      </c>
      <c r="M472" s="3">
        <v>1154</v>
      </c>
      <c r="N472" s="3">
        <v>0</v>
      </c>
      <c r="O472" s="3">
        <v>1000</v>
      </c>
      <c r="P472" s="1" t="s">
        <v>2076</v>
      </c>
      <c r="Q472" s="3">
        <v>21947</v>
      </c>
      <c r="R472" s="25">
        <f t="shared" si="91"/>
        <v>1.3797937885074814</v>
      </c>
      <c r="S472" s="32">
        <f t="shared" ref="S472:S479" si="95">J472</f>
        <v>15906</v>
      </c>
      <c r="T472" s="3">
        <f t="shared" si="92"/>
        <v>0</v>
      </c>
      <c r="U472" s="1" t="s">
        <v>3615</v>
      </c>
      <c r="V472" s="16">
        <v>1</v>
      </c>
      <c r="W472" s="28">
        <f t="shared" si="89"/>
        <v>1</v>
      </c>
      <c r="X472" s="27">
        <f t="shared" si="93"/>
        <v>1</v>
      </c>
      <c r="Y472" s="18"/>
      <c r="Z472" s="19"/>
    </row>
    <row r="473" spans="1:26" x14ac:dyDescent="0.35">
      <c r="A473" s="29">
        <v>1</v>
      </c>
      <c r="B473" s="1" t="s">
        <v>3621</v>
      </c>
      <c r="C473" s="1"/>
      <c r="D473" s="1" t="s">
        <v>2336</v>
      </c>
      <c r="E473" s="1" t="s">
        <v>2337</v>
      </c>
      <c r="F473" s="1" t="s">
        <v>2338</v>
      </c>
      <c r="G473" s="5" t="s">
        <v>2339</v>
      </c>
      <c r="H473" s="1" t="s">
        <v>17</v>
      </c>
      <c r="I473" s="2">
        <v>46086</v>
      </c>
      <c r="J473" s="33">
        <f t="shared" si="90"/>
        <v>61896</v>
      </c>
      <c r="K473" s="3">
        <v>8469</v>
      </c>
      <c r="L473" s="3">
        <v>47739</v>
      </c>
      <c r="M473" s="3">
        <v>4688</v>
      </c>
      <c r="N473" s="3">
        <v>0</v>
      </c>
      <c r="O473" s="3">
        <v>1000</v>
      </c>
      <c r="P473" s="1" t="s">
        <v>2340</v>
      </c>
      <c r="Q473" s="3">
        <v>151950</v>
      </c>
      <c r="R473" s="25">
        <f t="shared" si="91"/>
        <v>2.4549243892981778</v>
      </c>
      <c r="S473" s="32">
        <f t="shared" si="95"/>
        <v>61896</v>
      </c>
      <c r="T473" s="3">
        <f t="shared" si="92"/>
        <v>0</v>
      </c>
      <c r="U473" s="1" t="s">
        <v>3615</v>
      </c>
      <c r="V473" s="16">
        <v>1</v>
      </c>
      <c r="W473" s="28">
        <f t="shared" si="89"/>
        <v>1</v>
      </c>
      <c r="X473" s="27">
        <f t="shared" si="93"/>
        <v>1</v>
      </c>
      <c r="Y473" s="18"/>
      <c r="Z473" s="19"/>
    </row>
    <row r="474" spans="1:26" x14ac:dyDescent="0.35">
      <c r="A474" s="29">
        <v>1</v>
      </c>
      <c r="B474" s="1" t="s">
        <v>3621</v>
      </c>
      <c r="C474" s="1"/>
      <c r="D474" s="1" t="s">
        <v>2325</v>
      </c>
      <c r="E474" s="1" t="s">
        <v>2326</v>
      </c>
      <c r="F474" s="1" t="s">
        <v>2327</v>
      </c>
      <c r="G474" s="5" t="s">
        <v>2328</v>
      </c>
      <c r="H474" s="1" t="s">
        <v>17</v>
      </c>
      <c r="I474" s="2">
        <v>46086</v>
      </c>
      <c r="J474" s="33">
        <f t="shared" si="90"/>
        <v>122792</v>
      </c>
      <c r="K474" s="3">
        <v>16938</v>
      </c>
      <c r="L474" s="3">
        <v>95479</v>
      </c>
      <c r="M474" s="3">
        <v>9375</v>
      </c>
      <c r="N474" s="3">
        <v>0</v>
      </c>
      <c r="O474" s="3">
        <v>1000</v>
      </c>
      <c r="P474" s="1" t="s">
        <v>2329</v>
      </c>
      <c r="Q474" s="3">
        <v>619587</v>
      </c>
      <c r="R474" s="25">
        <f t="shared" si="91"/>
        <v>5.0458254609420807</v>
      </c>
      <c r="S474" s="32">
        <f t="shared" si="95"/>
        <v>122792</v>
      </c>
      <c r="T474" s="3">
        <f t="shared" si="92"/>
        <v>0</v>
      </c>
      <c r="U474" s="1" t="s">
        <v>3615</v>
      </c>
      <c r="V474" s="16">
        <v>1</v>
      </c>
      <c r="W474" s="28">
        <f t="shared" si="89"/>
        <v>1</v>
      </c>
      <c r="X474" s="27">
        <f t="shared" si="93"/>
        <v>1</v>
      </c>
      <c r="Y474" s="18"/>
      <c r="Z474" s="19"/>
    </row>
    <row r="475" spans="1:26" x14ac:dyDescent="0.35">
      <c r="A475" s="29">
        <v>1</v>
      </c>
      <c r="B475" s="1" t="s">
        <v>3621</v>
      </c>
      <c r="C475" s="1"/>
      <c r="D475" s="1" t="s">
        <v>2261</v>
      </c>
      <c r="E475" s="1" t="s">
        <v>2262</v>
      </c>
      <c r="F475" s="1" t="s">
        <v>2263</v>
      </c>
      <c r="G475" s="5" t="s">
        <v>2264</v>
      </c>
      <c r="H475" s="1" t="s">
        <v>17</v>
      </c>
      <c r="I475" s="2">
        <v>46086</v>
      </c>
      <c r="J475" s="33">
        <f t="shared" si="90"/>
        <v>30812</v>
      </c>
      <c r="K475" s="3">
        <v>4142</v>
      </c>
      <c r="L475" s="3">
        <v>23362</v>
      </c>
      <c r="M475" s="3">
        <v>2308</v>
      </c>
      <c r="N475" s="3">
        <v>0</v>
      </c>
      <c r="O475" s="3">
        <v>1000</v>
      </c>
      <c r="P475" s="1" t="s">
        <v>2265</v>
      </c>
      <c r="Q475" s="3">
        <v>48719</v>
      </c>
      <c r="R475" s="25">
        <f t="shared" si="91"/>
        <v>1.5811696741529275</v>
      </c>
      <c r="S475" s="32">
        <f t="shared" si="95"/>
        <v>30812</v>
      </c>
      <c r="T475" s="3">
        <f t="shared" si="92"/>
        <v>0</v>
      </c>
      <c r="U475" s="1" t="s">
        <v>3615</v>
      </c>
      <c r="V475" s="16">
        <v>1</v>
      </c>
      <c r="W475" s="28">
        <f t="shared" si="89"/>
        <v>1</v>
      </c>
      <c r="X475" s="27">
        <f t="shared" si="93"/>
        <v>1</v>
      </c>
      <c r="Y475" s="18"/>
      <c r="Z475" s="19"/>
    </row>
    <row r="476" spans="1:26" x14ac:dyDescent="0.35">
      <c r="A476" s="29">
        <v>1</v>
      </c>
      <c r="B476" s="1" t="s">
        <v>3621</v>
      </c>
      <c r="C476" s="1"/>
      <c r="D476" s="1" t="s">
        <v>2142</v>
      </c>
      <c r="E476" s="1" t="s">
        <v>2143</v>
      </c>
      <c r="F476" s="1" t="s">
        <v>2144</v>
      </c>
      <c r="G476" s="5" t="s">
        <v>2145</v>
      </c>
      <c r="H476" s="1" t="s">
        <v>17</v>
      </c>
      <c r="I476" s="2">
        <v>46086</v>
      </c>
      <c r="J476" s="33">
        <f t="shared" si="90"/>
        <v>104604</v>
      </c>
      <c r="K476" s="3">
        <v>19707</v>
      </c>
      <c r="L476" s="3">
        <v>76002</v>
      </c>
      <c r="M476" s="3">
        <v>7895</v>
      </c>
      <c r="N476" s="3">
        <v>0</v>
      </c>
      <c r="O476" s="3">
        <v>1000</v>
      </c>
      <c r="P476" s="1" t="s">
        <v>2146</v>
      </c>
      <c r="Q476" s="3">
        <v>463380</v>
      </c>
      <c r="R476" s="25">
        <f t="shared" si="91"/>
        <v>4.4298497189400026</v>
      </c>
      <c r="S476" s="32">
        <f t="shared" si="95"/>
        <v>104604</v>
      </c>
      <c r="T476" s="3">
        <f t="shared" si="92"/>
        <v>0</v>
      </c>
      <c r="U476" s="1" t="s">
        <v>3615</v>
      </c>
      <c r="V476" s="16">
        <v>1</v>
      </c>
      <c r="W476" s="28">
        <f t="shared" si="89"/>
        <v>1</v>
      </c>
      <c r="X476" s="27">
        <f t="shared" si="93"/>
        <v>1</v>
      </c>
      <c r="Y476" s="18"/>
      <c r="Z476" s="19"/>
    </row>
    <row r="477" spans="1:26" x14ac:dyDescent="0.35">
      <c r="A477" s="29">
        <v>1</v>
      </c>
      <c r="B477" s="1" t="s">
        <v>3621</v>
      </c>
      <c r="C477" s="1"/>
      <c r="D477" s="1" t="s">
        <v>2256</v>
      </c>
      <c r="E477" s="1" t="s">
        <v>2257</v>
      </c>
      <c r="F477" s="1" t="s">
        <v>2258</v>
      </c>
      <c r="G477" s="5" t="s">
        <v>2259</v>
      </c>
      <c r="H477" s="1" t="s">
        <v>17</v>
      </c>
      <c r="I477" s="2">
        <v>46086</v>
      </c>
      <c r="J477" s="33">
        <f t="shared" si="90"/>
        <v>20874</v>
      </c>
      <c r="K477" s="3">
        <v>2762</v>
      </c>
      <c r="L477" s="3">
        <v>15574</v>
      </c>
      <c r="M477" s="3">
        <v>1538</v>
      </c>
      <c r="N477" s="3">
        <v>0</v>
      </c>
      <c r="O477" s="3">
        <v>1000</v>
      </c>
      <c r="P477" s="1" t="s">
        <v>2260</v>
      </c>
      <c r="Q477" s="3">
        <v>85249</v>
      </c>
      <c r="R477" s="25">
        <f t="shared" si="91"/>
        <v>4.0839800709015996</v>
      </c>
      <c r="S477" s="32">
        <f t="shared" si="95"/>
        <v>20874</v>
      </c>
      <c r="T477" s="3">
        <f t="shared" si="92"/>
        <v>0</v>
      </c>
      <c r="U477" s="1" t="s">
        <v>3615</v>
      </c>
      <c r="V477" s="16">
        <v>1</v>
      </c>
      <c r="W477" s="28">
        <f t="shared" si="89"/>
        <v>1</v>
      </c>
      <c r="X477" s="27">
        <f t="shared" si="93"/>
        <v>1</v>
      </c>
      <c r="Y477" s="18"/>
      <c r="Z477" s="19"/>
    </row>
    <row r="478" spans="1:26" x14ac:dyDescent="0.35">
      <c r="A478" s="29">
        <v>1</v>
      </c>
      <c r="B478" s="1" t="s">
        <v>3621</v>
      </c>
      <c r="C478" s="1"/>
      <c r="D478" s="1" t="s">
        <v>2345</v>
      </c>
      <c r="E478" s="1" t="s">
        <v>2346</v>
      </c>
      <c r="F478" s="1" t="s">
        <v>2347</v>
      </c>
      <c r="G478" s="5" t="s">
        <v>2348</v>
      </c>
      <c r="H478" s="1" t="s">
        <v>32</v>
      </c>
      <c r="I478" s="2">
        <v>46086</v>
      </c>
      <c r="J478" s="33">
        <f t="shared" si="90"/>
        <v>57836</v>
      </c>
      <c r="K478" s="3">
        <v>9666</v>
      </c>
      <c r="L478" s="3">
        <v>42795</v>
      </c>
      <c r="M478" s="3">
        <v>4375</v>
      </c>
      <c r="N478" s="3">
        <v>0</v>
      </c>
      <c r="O478" s="3">
        <v>1000</v>
      </c>
      <c r="P478" s="1" t="s">
        <v>2349</v>
      </c>
      <c r="Q478" s="3">
        <v>137876</v>
      </c>
      <c r="R478" s="25">
        <f t="shared" si="91"/>
        <v>2.3839131336883601</v>
      </c>
      <c r="S478" s="32">
        <f t="shared" si="95"/>
        <v>57836</v>
      </c>
      <c r="T478" s="3">
        <f t="shared" si="92"/>
        <v>0</v>
      </c>
      <c r="U478" s="1" t="s">
        <v>3615</v>
      </c>
      <c r="V478" s="16">
        <v>1</v>
      </c>
      <c r="W478" s="28">
        <f t="shared" si="89"/>
        <v>1</v>
      </c>
      <c r="X478" s="27">
        <f t="shared" si="93"/>
        <v>1</v>
      </c>
      <c r="Y478" s="18"/>
      <c r="Z478" s="19"/>
    </row>
    <row r="479" spans="1:26" x14ac:dyDescent="0.35">
      <c r="A479" s="29">
        <v>1</v>
      </c>
      <c r="B479" s="1" t="s">
        <v>3621</v>
      </c>
      <c r="C479" s="1"/>
      <c r="D479" s="1" t="s">
        <v>2423</v>
      </c>
      <c r="E479" s="1" t="s">
        <v>2424</v>
      </c>
      <c r="F479" s="1" t="s">
        <v>2425</v>
      </c>
      <c r="G479" s="5" t="s">
        <v>2426</v>
      </c>
      <c r="H479" s="1" t="s">
        <v>17</v>
      </c>
      <c r="I479" s="2">
        <v>46086</v>
      </c>
      <c r="J479" s="33">
        <f t="shared" si="90"/>
        <v>23265</v>
      </c>
      <c r="K479" s="3">
        <v>14992</v>
      </c>
      <c r="L479" s="3">
        <v>0</v>
      </c>
      <c r="M479" s="3">
        <v>7273</v>
      </c>
      <c r="N479" s="3">
        <v>0</v>
      </c>
      <c r="O479" s="3">
        <v>1000</v>
      </c>
      <c r="P479" s="1" t="s">
        <v>2427</v>
      </c>
      <c r="Q479" s="3">
        <v>70102</v>
      </c>
      <c r="R479" s="25">
        <f t="shared" si="91"/>
        <v>3.0131957876638729</v>
      </c>
      <c r="S479" s="32">
        <f t="shared" si="95"/>
        <v>23265</v>
      </c>
      <c r="T479" s="3">
        <f t="shared" si="92"/>
        <v>0</v>
      </c>
      <c r="U479" s="1" t="s">
        <v>3615</v>
      </c>
      <c r="V479" s="16">
        <v>1</v>
      </c>
      <c r="W479" s="28">
        <f t="shared" si="89"/>
        <v>1</v>
      </c>
      <c r="X479" s="27">
        <f t="shared" si="93"/>
        <v>1</v>
      </c>
      <c r="Y479" s="18"/>
      <c r="Z479" s="19"/>
    </row>
    <row r="480" spans="1:26" x14ac:dyDescent="0.35">
      <c r="A480" s="29">
        <v>1</v>
      </c>
      <c r="B480" s="1" t="s">
        <v>3621</v>
      </c>
      <c r="C480" s="1"/>
      <c r="D480" s="1" t="s">
        <v>2137</v>
      </c>
      <c r="E480" s="1" t="s">
        <v>2138</v>
      </c>
      <c r="F480" s="1" t="s">
        <v>2139</v>
      </c>
      <c r="G480" s="5" t="s">
        <v>2140</v>
      </c>
      <c r="H480" s="1" t="s">
        <v>17</v>
      </c>
      <c r="I480" s="2">
        <v>46086</v>
      </c>
      <c r="J480" s="33">
        <f t="shared" si="90"/>
        <v>147914</v>
      </c>
      <c r="K480" s="3">
        <v>29260</v>
      </c>
      <c r="L480" s="3">
        <v>106543</v>
      </c>
      <c r="M480" s="3">
        <v>11111</v>
      </c>
      <c r="N480" s="3">
        <v>0</v>
      </c>
      <c r="O480" s="3">
        <v>1000</v>
      </c>
      <c r="P480" s="1" t="s">
        <v>2141</v>
      </c>
      <c r="Q480" s="3">
        <v>42135</v>
      </c>
      <c r="R480" s="25">
        <f t="shared" si="91"/>
        <v>0.28486147355895991</v>
      </c>
      <c r="S480" s="32">
        <f>Q480</f>
        <v>42135</v>
      </c>
      <c r="T480" s="31">
        <f t="shared" si="92"/>
        <v>-105779</v>
      </c>
      <c r="U480" s="1" t="s">
        <v>3616</v>
      </c>
      <c r="V480" s="16"/>
      <c r="W480" s="30">
        <f t="shared" si="89"/>
        <v>0</v>
      </c>
      <c r="X480" s="27">
        <f t="shared" si="93"/>
        <v>0.28486147355895991</v>
      </c>
      <c r="Y480" s="18"/>
      <c r="Z480" s="19"/>
    </row>
    <row r="481" spans="1:26" x14ac:dyDescent="0.35">
      <c r="A481" s="29">
        <v>1</v>
      </c>
      <c r="B481" s="1" t="s">
        <v>3621</v>
      </c>
      <c r="C481" s="1"/>
      <c r="D481" s="1" t="s">
        <v>2193</v>
      </c>
      <c r="E481" s="1" t="s">
        <v>2194</v>
      </c>
      <c r="F481" s="1" t="s">
        <v>2195</v>
      </c>
      <c r="G481" s="5" t="s">
        <v>2196</v>
      </c>
      <c r="H481" s="1" t="s">
        <v>467</v>
      </c>
      <c r="I481" s="2">
        <v>46086</v>
      </c>
      <c r="J481" s="33">
        <f t="shared" si="90"/>
        <v>16908</v>
      </c>
      <c r="K481" s="3">
        <v>1367</v>
      </c>
      <c r="L481" s="3">
        <v>14541</v>
      </c>
      <c r="M481" s="3">
        <v>0</v>
      </c>
      <c r="N481" s="3">
        <v>0</v>
      </c>
      <c r="O481" s="3">
        <v>1000</v>
      </c>
      <c r="P481" s="1" t="s">
        <v>2197</v>
      </c>
      <c r="Q481" s="3">
        <v>248349</v>
      </c>
      <c r="R481" s="25">
        <f t="shared" si="91"/>
        <v>14.688254080908445</v>
      </c>
      <c r="S481" s="32">
        <f>J481</f>
        <v>16908</v>
      </c>
      <c r="T481" s="3">
        <f t="shared" si="92"/>
        <v>0</v>
      </c>
      <c r="U481" s="1" t="s">
        <v>3615</v>
      </c>
      <c r="V481" s="16">
        <v>1</v>
      </c>
      <c r="W481" s="28">
        <f t="shared" si="89"/>
        <v>1</v>
      </c>
      <c r="X481" s="27">
        <f t="shared" si="93"/>
        <v>1</v>
      </c>
      <c r="Y481" s="18"/>
      <c r="Z481" s="19"/>
    </row>
    <row r="482" spans="1:26" x14ac:dyDescent="0.35">
      <c r="A482" s="29">
        <v>1</v>
      </c>
      <c r="B482" s="1" t="s">
        <v>3621</v>
      </c>
      <c r="C482" s="1"/>
      <c r="D482" s="1" t="s">
        <v>2320</v>
      </c>
      <c r="E482" s="1" t="s">
        <v>2321</v>
      </c>
      <c r="F482" s="1" t="s">
        <v>2322</v>
      </c>
      <c r="G482" s="5" t="s">
        <v>2323</v>
      </c>
      <c r="H482" s="1" t="s">
        <v>17</v>
      </c>
      <c r="I482" s="2">
        <v>46086</v>
      </c>
      <c r="J482" s="33">
        <f t="shared" si="90"/>
        <v>50686</v>
      </c>
      <c r="K482" s="3">
        <v>5294</v>
      </c>
      <c r="L482" s="3">
        <v>40546</v>
      </c>
      <c r="M482" s="3">
        <v>3846</v>
      </c>
      <c r="N482" s="3">
        <v>0</v>
      </c>
      <c r="O482" s="3">
        <v>1000</v>
      </c>
      <c r="P482" s="1" t="s">
        <v>2324</v>
      </c>
      <c r="Q482" s="3">
        <v>29001</v>
      </c>
      <c r="R482" s="25">
        <f t="shared" si="91"/>
        <v>0.57216982993331489</v>
      </c>
      <c r="S482" s="32">
        <f>Q482</f>
        <v>29001</v>
      </c>
      <c r="T482" s="31">
        <f t="shared" si="92"/>
        <v>-21685</v>
      </c>
      <c r="U482" s="1" t="s">
        <v>3616</v>
      </c>
      <c r="V482" s="16"/>
      <c r="W482" s="30">
        <f t="shared" si="89"/>
        <v>0</v>
      </c>
      <c r="X482" s="27">
        <f t="shared" si="93"/>
        <v>0.57216982993331489</v>
      </c>
      <c r="Y482" s="18"/>
      <c r="Z482" s="19"/>
    </row>
    <row r="483" spans="1:26" x14ac:dyDescent="0.35">
      <c r="A483" s="29">
        <v>1</v>
      </c>
      <c r="B483" s="1" t="s">
        <v>3621</v>
      </c>
      <c r="C483" s="1"/>
      <c r="D483" s="1" t="s">
        <v>2355</v>
      </c>
      <c r="E483" s="1" t="s">
        <v>2356</v>
      </c>
      <c r="F483" s="1" t="s">
        <v>2357</v>
      </c>
      <c r="G483" s="5" t="s">
        <v>2358</v>
      </c>
      <c r="H483" s="1" t="s">
        <v>17</v>
      </c>
      <c r="I483" s="2">
        <v>46086</v>
      </c>
      <c r="J483" s="33">
        <f t="shared" si="90"/>
        <v>20874</v>
      </c>
      <c r="K483" s="3">
        <v>2762</v>
      </c>
      <c r="L483" s="3">
        <v>15574</v>
      </c>
      <c r="M483" s="3">
        <v>1538</v>
      </c>
      <c r="N483" s="3">
        <v>0</v>
      </c>
      <c r="O483" s="3">
        <v>1000</v>
      </c>
      <c r="P483" s="1" t="s">
        <v>2359</v>
      </c>
      <c r="Q483" s="3">
        <v>6841</v>
      </c>
      <c r="R483" s="25">
        <f t="shared" si="91"/>
        <v>0.32772827440835489</v>
      </c>
      <c r="S483" s="32">
        <f>Q483</f>
        <v>6841</v>
      </c>
      <c r="T483" s="31">
        <f t="shared" si="92"/>
        <v>-14033</v>
      </c>
      <c r="U483" s="1" t="s">
        <v>3616</v>
      </c>
      <c r="V483" s="16"/>
      <c r="W483" s="30">
        <f t="shared" si="89"/>
        <v>0</v>
      </c>
      <c r="X483" s="27">
        <f t="shared" si="93"/>
        <v>0.32772827440835489</v>
      </c>
      <c r="Y483" s="18"/>
      <c r="Z483" s="19"/>
    </row>
    <row r="484" spans="1:26" x14ac:dyDescent="0.35">
      <c r="A484" s="29">
        <v>1</v>
      </c>
      <c r="B484" s="1" t="s">
        <v>3621</v>
      </c>
      <c r="C484" s="1"/>
      <c r="D484" s="1" t="s">
        <v>2226</v>
      </c>
      <c r="E484" s="1" t="s">
        <v>2227</v>
      </c>
      <c r="F484" s="1" t="s">
        <v>2228</v>
      </c>
      <c r="G484" s="5" t="s">
        <v>2229</v>
      </c>
      <c r="H484" s="1" t="s">
        <v>17</v>
      </c>
      <c r="I484" s="2">
        <v>46086</v>
      </c>
      <c r="J484" s="33">
        <f t="shared" ref="J484:J515" si="96">SUM(K484:O484)</f>
        <v>70561</v>
      </c>
      <c r="K484" s="3">
        <v>9666</v>
      </c>
      <c r="L484" s="3">
        <v>54510</v>
      </c>
      <c r="M484" s="3">
        <v>5385</v>
      </c>
      <c r="N484" s="3">
        <v>0</v>
      </c>
      <c r="O484" s="3">
        <v>1000</v>
      </c>
      <c r="P484" s="1" t="s">
        <v>2230</v>
      </c>
      <c r="Q484" s="3">
        <v>178963</v>
      </c>
      <c r="R484" s="25">
        <f t="shared" ref="R484:R515" si="97">Q484/J484</f>
        <v>2.5362877510239366</v>
      </c>
      <c r="S484" s="32">
        <f>J484</f>
        <v>70561</v>
      </c>
      <c r="T484" s="3">
        <f t="shared" ref="T484:T515" si="98">S484-J484</f>
        <v>0</v>
      </c>
      <c r="U484" s="1" t="s">
        <v>3615</v>
      </c>
      <c r="V484" s="16">
        <v>1</v>
      </c>
      <c r="W484" s="28">
        <f t="shared" si="89"/>
        <v>1</v>
      </c>
      <c r="X484" s="27">
        <f t="shared" ref="X484:X515" si="99">S484/J484</f>
        <v>1</v>
      </c>
      <c r="Y484" s="18"/>
      <c r="Z484" s="19"/>
    </row>
    <row r="485" spans="1:26" x14ac:dyDescent="0.35">
      <c r="A485" s="29">
        <v>1</v>
      </c>
      <c r="B485" s="1" t="s">
        <v>3621</v>
      </c>
      <c r="C485" s="1"/>
      <c r="D485" s="1" t="s">
        <v>1982</v>
      </c>
      <c r="E485" s="1" t="s">
        <v>1983</v>
      </c>
      <c r="F485" s="1" t="s">
        <v>1984</v>
      </c>
      <c r="G485" s="5" t="s">
        <v>1985</v>
      </c>
      <c r="H485" s="1" t="s">
        <v>17</v>
      </c>
      <c r="I485" s="2">
        <v>46086</v>
      </c>
      <c r="J485" s="33">
        <f t="shared" si="96"/>
        <v>20969</v>
      </c>
      <c r="K485" s="3">
        <v>1768</v>
      </c>
      <c r="L485" s="3">
        <v>16663</v>
      </c>
      <c r="M485" s="3">
        <v>1538</v>
      </c>
      <c r="N485" s="3">
        <v>0</v>
      </c>
      <c r="O485" s="3">
        <v>1000</v>
      </c>
      <c r="P485" s="1" t="s">
        <v>1986</v>
      </c>
      <c r="Q485" s="3">
        <v>1000</v>
      </c>
      <c r="R485" s="25">
        <f t="shared" si="97"/>
        <v>4.7689446325528163E-2</v>
      </c>
      <c r="S485" s="32">
        <f>Q485</f>
        <v>1000</v>
      </c>
      <c r="T485" s="31">
        <f t="shared" si="98"/>
        <v>-19969</v>
      </c>
      <c r="U485" s="1" t="s">
        <v>3616</v>
      </c>
      <c r="V485" s="16"/>
      <c r="W485" s="30">
        <f t="shared" si="89"/>
        <v>0</v>
      </c>
      <c r="X485" s="27">
        <f t="shared" si="99"/>
        <v>4.7689446325528163E-2</v>
      </c>
      <c r="Y485" s="18"/>
      <c r="Z485" s="19"/>
    </row>
    <row r="486" spans="1:26" x14ac:dyDescent="0.35">
      <c r="A486" s="29">
        <v>1</v>
      </c>
      <c r="B486" s="1" t="s">
        <v>3621</v>
      </c>
      <c r="C486" s="1"/>
      <c r="D486" s="1" t="s">
        <v>2437</v>
      </c>
      <c r="E486" s="1" t="s">
        <v>2438</v>
      </c>
      <c r="F486" s="1" t="s">
        <v>2439</v>
      </c>
      <c r="G486" s="5" t="s">
        <v>2440</v>
      </c>
      <c r="H486" s="1" t="s">
        <v>17</v>
      </c>
      <c r="I486" s="2">
        <v>46086</v>
      </c>
      <c r="J486" s="33">
        <f t="shared" si="96"/>
        <v>18319</v>
      </c>
      <c r="K486" s="3">
        <v>10652</v>
      </c>
      <c r="L486" s="3">
        <v>0</v>
      </c>
      <c r="M486" s="3">
        <v>6667</v>
      </c>
      <c r="N486" s="3">
        <v>0</v>
      </c>
      <c r="O486" s="3">
        <v>1000</v>
      </c>
      <c r="P486" s="1" t="s">
        <v>2441</v>
      </c>
      <c r="Q486" s="3">
        <v>49021</v>
      </c>
      <c r="R486" s="25">
        <f t="shared" si="97"/>
        <v>2.6759648452426443</v>
      </c>
      <c r="S486" s="32">
        <f>J486</f>
        <v>18319</v>
      </c>
      <c r="T486" s="3">
        <f t="shared" si="98"/>
        <v>0</v>
      </c>
      <c r="U486" s="1" t="s">
        <v>3615</v>
      </c>
      <c r="V486" s="16">
        <v>1</v>
      </c>
      <c r="W486" s="28">
        <f t="shared" si="89"/>
        <v>1</v>
      </c>
      <c r="X486" s="27">
        <f t="shared" si="99"/>
        <v>1</v>
      </c>
      <c r="Y486" s="18"/>
      <c r="Z486" s="19"/>
    </row>
    <row r="487" spans="1:26" x14ac:dyDescent="0.35">
      <c r="A487" s="29">
        <v>1</v>
      </c>
      <c r="B487" s="1" t="s">
        <v>3621</v>
      </c>
      <c r="C487" s="1"/>
      <c r="D487" s="1" t="s">
        <v>2203</v>
      </c>
      <c r="E487" s="1" t="s">
        <v>2204</v>
      </c>
      <c r="F487" s="1" t="s">
        <v>2205</v>
      </c>
      <c r="G487" s="5" t="s">
        <v>2206</v>
      </c>
      <c r="H487" s="1" t="s">
        <v>17</v>
      </c>
      <c r="I487" s="2">
        <v>46086</v>
      </c>
      <c r="J487" s="33">
        <f t="shared" si="96"/>
        <v>50924</v>
      </c>
      <c r="K487" s="3">
        <v>7288</v>
      </c>
      <c r="L487" s="3">
        <v>38790</v>
      </c>
      <c r="M487" s="3">
        <v>3846</v>
      </c>
      <c r="N487" s="3">
        <v>0</v>
      </c>
      <c r="O487" s="3">
        <v>1000</v>
      </c>
      <c r="P487" s="1" t="s">
        <v>2207</v>
      </c>
      <c r="Q487" s="3">
        <v>8195</v>
      </c>
      <c r="R487" s="25">
        <f t="shared" si="97"/>
        <v>0.16092608593197708</v>
      </c>
      <c r="S487" s="32">
        <f>Q487</f>
        <v>8195</v>
      </c>
      <c r="T487" s="31">
        <f t="shared" si="98"/>
        <v>-42729</v>
      </c>
      <c r="U487" s="1" t="s">
        <v>3616</v>
      </c>
      <c r="V487" s="16"/>
      <c r="W487" s="30">
        <f t="shared" si="89"/>
        <v>0</v>
      </c>
      <c r="X487" s="27">
        <f t="shared" si="99"/>
        <v>0.16092608593197708</v>
      </c>
      <c r="Y487" s="18"/>
      <c r="Z487" s="19"/>
    </row>
    <row r="488" spans="1:26" x14ac:dyDescent="0.35">
      <c r="A488" s="29">
        <v>1</v>
      </c>
      <c r="B488" s="1" t="s">
        <v>3621</v>
      </c>
      <c r="C488" s="1"/>
      <c r="D488" s="1" t="s">
        <v>2063</v>
      </c>
      <c r="E488" s="1" t="s">
        <v>2064</v>
      </c>
      <c r="F488" s="1" t="s">
        <v>2065</v>
      </c>
      <c r="G488" s="5" t="s">
        <v>2066</v>
      </c>
      <c r="H488" s="1" t="s">
        <v>17</v>
      </c>
      <c r="I488" s="2">
        <v>46086</v>
      </c>
      <c r="J488" s="33">
        <f t="shared" si="96"/>
        <v>50686</v>
      </c>
      <c r="K488" s="3">
        <v>4179</v>
      </c>
      <c r="L488" s="3">
        <v>41661</v>
      </c>
      <c r="M488" s="3">
        <v>3846</v>
      </c>
      <c r="N488" s="3">
        <v>0</v>
      </c>
      <c r="O488" s="3">
        <v>1000</v>
      </c>
      <c r="P488" s="1" t="s">
        <v>2067</v>
      </c>
      <c r="Q488" s="3">
        <v>60100</v>
      </c>
      <c r="R488" s="25">
        <f t="shared" si="97"/>
        <v>1.1857317602493784</v>
      </c>
      <c r="S488" s="32">
        <f>J488</f>
        <v>50686</v>
      </c>
      <c r="T488" s="3">
        <f t="shared" si="98"/>
        <v>0</v>
      </c>
      <c r="U488" s="1" t="s">
        <v>3615</v>
      </c>
      <c r="V488" s="16">
        <v>1</v>
      </c>
      <c r="W488" s="28">
        <f t="shared" si="89"/>
        <v>1</v>
      </c>
      <c r="X488" s="27">
        <f t="shared" si="99"/>
        <v>1</v>
      </c>
      <c r="Y488" s="18"/>
      <c r="Z488" s="19"/>
    </row>
    <row r="489" spans="1:26" x14ac:dyDescent="0.35">
      <c r="A489" s="29">
        <v>1</v>
      </c>
      <c r="B489" s="1" t="s">
        <v>3621</v>
      </c>
      <c r="C489" s="1"/>
      <c r="D489" s="1" t="s">
        <v>2024</v>
      </c>
      <c r="E489" s="1" t="s">
        <v>2025</v>
      </c>
      <c r="F489" s="1" t="s">
        <v>2026</v>
      </c>
      <c r="G489" s="5" t="s">
        <v>2027</v>
      </c>
      <c r="H489" s="1" t="s">
        <v>17</v>
      </c>
      <c r="I489" s="2">
        <v>46086</v>
      </c>
      <c r="J489" s="33">
        <f t="shared" si="96"/>
        <v>50686</v>
      </c>
      <c r="K489" s="3">
        <v>6377</v>
      </c>
      <c r="L489" s="3">
        <v>39463</v>
      </c>
      <c r="M489" s="3">
        <v>3846</v>
      </c>
      <c r="N489" s="3">
        <v>0</v>
      </c>
      <c r="O489" s="3">
        <v>1000</v>
      </c>
      <c r="P489" s="1" t="s">
        <v>2028</v>
      </c>
      <c r="Q489" s="3">
        <v>76832</v>
      </c>
      <c r="R489" s="25">
        <f t="shared" si="97"/>
        <v>1.5158426389930157</v>
      </c>
      <c r="S489" s="32">
        <f>J489</f>
        <v>50686</v>
      </c>
      <c r="T489" s="3">
        <f t="shared" si="98"/>
        <v>0</v>
      </c>
      <c r="U489" s="1" t="s">
        <v>3615</v>
      </c>
      <c r="V489" s="16">
        <v>1</v>
      </c>
      <c r="W489" s="28">
        <f t="shared" si="89"/>
        <v>1</v>
      </c>
      <c r="X489" s="27">
        <f t="shared" si="99"/>
        <v>1</v>
      </c>
      <c r="Y489" s="18"/>
      <c r="Z489" s="19"/>
    </row>
    <row r="490" spans="1:26" x14ac:dyDescent="0.35">
      <c r="A490" s="29">
        <v>1</v>
      </c>
      <c r="B490" s="1" t="s">
        <v>3621</v>
      </c>
      <c r="C490" s="1"/>
      <c r="D490" s="1" t="s">
        <v>2446</v>
      </c>
      <c r="E490" s="1" t="s">
        <v>2447</v>
      </c>
      <c r="F490" s="1" t="s">
        <v>2448</v>
      </c>
      <c r="G490" s="5" t="s">
        <v>2449</v>
      </c>
      <c r="H490" s="1" t="s">
        <v>17</v>
      </c>
      <c r="I490" s="2">
        <v>46086</v>
      </c>
      <c r="J490" s="33">
        <f t="shared" si="96"/>
        <v>7408</v>
      </c>
      <c r="K490" s="3">
        <v>3551</v>
      </c>
      <c r="L490" s="3">
        <v>0</v>
      </c>
      <c r="M490" s="3">
        <v>2857</v>
      </c>
      <c r="N490" s="3">
        <v>0</v>
      </c>
      <c r="O490" s="3">
        <v>1000</v>
      </c>
      <c r="P490" s="1" t="s">
        <v>2450</v>
      </c>
      <c r="Q490" s="3">
        <v>8772</v>
      </c>
      <c r="R490" s="25">
        <f t="shared" si="97"/>
        <v>1.1841252699784017</v>
      </c>
      <c r="S490" s="32">
        <f>J490</f>
        <v>7408</v>
      </c>
      <c r="T490" s="3">
        <f t="shared" si="98"/>
        <v>0</v>
      </c>
      <c r="U490" s="1" t="s">
        <v>3615</v>
      </c>
      <c r="V490" s="16">
        <v>1</v>
      </c>
      <c r="W490" s="28">
        <f t="shared" si="89"/>
        <v>1</v>
      </c>
      <c r="X490" s="27">
        <f t="shared" si="99"/>
        <v>1</v>
      </c>
      <c r="Y490" s="18"/>
      <c r="Z490" s="19"/>
    </row>
    <row r="491" spans="1:26" x14ac:dyDescent="0.35">
      <c r="A491" s="29">
        <v>1</v>
      </c>
      <c r="B491" s="1" t="s">
        <v>3621</v>
      </c>
      <c r="C491" s="1"/>
      <c r="D491" s="1" t="s">
        <v>1903</v>
      </c>
      <c r="E491" s="1" t="s">
        <v>1904</v>
      </c>
      <c r="F491" s="1" t="s">
        <v>1905</v>
      </c>
      <c r="G491" s="5" t="s">
        <v>1906</v>
      </c>
      <c r="H491" s="1" t="s">
        <v>17</v>
      </c>
      <c r="I491" s="2">
        <v>46086</v>
      </c>
      <c r="J491" s="33">
        <f t="shared" si="96"/>
        <v>30955</v>
      </c>
      <c r="K491" s="3">
        <v>3357</v>
      </c>
      <c r="L491" s="3">
        <v>24290</v>
      </c>
      <c r="M491" s="3">
        <v>2308</v>
      </c>
      <c r="N491" s="3">
        <v>0</v>
      </c>
      <c r="O491" s="3">
        <v>1000</v>
      </c>
      <c r="P491" s="1" t="s">
        <v>1907</v>
      </c>
      <c r="Q491" s="3">
        <v>2179</v>
      </c>
      <c r="R491" s="25">
        <f t="shared" si="97"/>
        <v>7.0392505249555801E-2</v>
      </c>
      <c r="S491" s="32">
        <f>Q491</f>
        <v>2179</v>
      </c>
      <c r="T491" s="31">
        <f t="shared" si="98"/>
        <v>-28776</v>
      </c>
      <c r="U491" s="1" t="s">
        <v>3616</v>
      </c>
      <c r="V491" s="16"/>
      <c r="W491" s="30">
        <f t="shared" si="89"/>
        <v>0</v>
      </c>
      <c r="X491" s="27">
        <f t="shared" si="99"/>
        <v>7.0392505249555801E-2</v>
      </c>
      <c r="Y491" s="18"/>
      <c r="Z491" s="19"/>
    </row>
    <row r="492" spans="1:26" x14ac:dyDescent="0.35">
      <c r="A492" s="29">
        <v>1</v>
      </c>
      <c r="B492" s="1" t="s">
        <v>3621</v>
      </c>
      <c r="C492" s="1"/>
      <c r="D492" s="1" t="s">
        <v>2251</v>
      </c>
      <c r="E492" s="1" t="s">
        <v>2252</v>
      </c>
      <c r="F492" s="1" t="s">
        <v>2253</v>
      </c>
      <c r="G492" s="5" t="s">
        <v>2254</v>
      </c>
      <c r="H492" s="1" t="s">
        <v>17</v>
      </c>
      <c r="I492" s="2">
        <v>46086</v>
      </c>
      <c r="J492" s="33">
        <f t="shared" si="96"/>
        <v>65955</v>
      </c>
      <c r="K492" s="3">
        <v>11047</v>
      </c>
      <c r="L492" s="3">
        <v>48908</v>
      </c>
      <c r="M492" s="3">
        <v>5000</v>
      </c>
      <c r="N492" s="3">
        <v>0</v>
      </c>
      <c r="O492" s="3">
        <v>1000</v>
      </c>
      <c r="P492" s="1" t="s">
        <v>2255</v>
      </c>
      <c r="Q492" s="3">
        <v>189537</v>
      </c>
      <c r="R492" s="25">
        <f t="shared" si="97"/>
        <v>2.8737320900614054</v>
      </c>
      <c r="S492" s="32">
        <f>J492</f>
        <v>65955</v>
      </c>
      <c r="T492" s="3">
        <f t="shared" si="98"/>
        <v>0</v>
      </c>
      <c r="U492" s="1" t="s">
        <v>3615</v>
      </c>
      <c r="V492" s="16">
        <v>1</v>
      </c>
      <c r="W492" s="28">
        <f t="shared" si="89"/>
        <v>1</v>
      </c>
      <c r="X492" s="27">
        <f t="shared" si="99"/>
        <v>1</v>
      </c>
      <c r="Y492" s="18"/>
      <c r="Z492" s="19"/>
    </row>
    <row r="493" spans="1:26" x14ac:dyDescent="0.35">
      <c r="A493" s="29">
        <v>1</v>
      </c>
      <c r="B493" s="1" t="s">
        <v>3621</v>
      </c>
      <c r="C493" s="1"/>
      <c r="D493" s="1" t="s">
        <v>1913</v>
      </c>
      <c r="E493" s="1" t="s">
        <v>1914</v>
      </c>
      <c r="F493" s="1" t="s">
        <v>1915</v>
      </c>
      <c r="G493" s="5" t="s">
        <v>1916</v>
      </c>
      <c r="H493" s="1" t="s">
        <v>17</v>
      </c>
      <c r="I493" s="2">
        <v>46086</v>
      </c>
      <c r="J493" s="33">
        <f t="shared" si="96"/>
        <v>122792</v>
      </c>
      <c r="K493" s="3">
        <v>18222</v>
      </c>
      <c r="L493" s="3">
        <v>94195</v>
      </c>
      <c r="M493" s="3">
        <v>9375</v>
      </c>
      <c r="N493" s="3">
        <v>0</v>
      </c>
      <c r="O493" s="3">
        <v>1000</v>
      </c>
      <c r="P493" s="1" t="s">
        <v>1917</v>
      </c>
      <c r="Q493" s="3">
        <v>104066</v>
      </c>
      <c r="R493" s="25">
        <f t="shared" si="97"/>
        <v>0.84749820835233569</v>
      </c>
      <c r="S493" s="32">
        <f>Q493</f>
        <v>104066</v>
      </c>
      <c r="T493" s="31">
        <f t="shared" si="98"/>
        <v>-18726</v>
      </c>
      <c r="U493" s="1" t="s">
        <v>3616</v>
      </c>
      <c r="V493" s="16"/>
      <c r="W493" s="30">
        <f t="shared" si="89"/>
        <v>0</v>
      </c>
      <c r="X493" s="27">
        <f t="shared" si="99"/>
        <v>0.84749820835233569</v>
      </c>
      <c r="Y493" s="18"/>
      <c r="Z493" s="19"/>
    </row>
    <row r="494" spans="1:26" x14ac:dyDescent="0.35">
      <c r="A494" s="29">
        <v>1</v>
      </c>
      <c r="B494" s="1" t="s">
        <v>3621</v>
      </c>
      <c r="C494" s="1"/>
      <c r="D494" s="1" t="s">
        <v>1894</v>
      </c>
      <c r="E494" s="1" t="s">
        <v>1895</v>
      </c>
      <c r="F494" s="1" t="s">
        <v>1896</v>
      </c>
      <c r="G494" s="5" t="s">
        <v>1897</v>
      </c>
      <c r="H494" s="1" t="s">
        <v>17</v>
      </c>
      <c r="I494" s="2">
        <v>46086</v>
      </c>
      <c r="J494" s="33">
        <f t="shared" si="96"/>
        <v>30812</v>
      </c>
      <c r="K494" s="3">
        <v>3176</v>
      </c>
      <c r="L494" s="3">
        <v>24328</v>
      </c>
      <c r="M494" s="3">
        <v>2308</v>
      </c>
      <c r="N494" s="3">
        <v>0</v>
      </c>
      <c r="O494" s="3">
        <v>1000</v>
      </c>
      <c r="P494" s="1" t="s">
        <v>1898</v>
      </c>
      <c r="Q494" s="3">
        <v>146387</v>
      </c>
      <c r="R494" s="25">
        <f t="shared" si="97"/>
        <v>4.7509736466311825</v>
      </c>
      <c r="S494" s="32">
        <f>J494</f>
        <v>30812</v>
      </c>
      <c r="T494" s="3">
        <f t="shared" si="98"/>
        <v>0</v>
      </c>
      <c r="U494" s="1" t="s">
        <v>3615</v>
      </c>
      <c r="V494" s="16">
        <v>1</v>
      </c>
      <c r="W494" s="28">
        <f t="shared" si="89"/>
        <v>1</v>
      </c>
      <c r="X494" s="27">
        <f t="shared" si="99"/>
        <v>1</v>
      </c>
      <c r="Y494" s="18"/>
      <c r="Z494" s="19"/>
    </row>
    <row r="495" spans="1:26" x14ac:dyDescent="0.35">
      <c r="A495" s="29">
        <v>1</v>
      </c>
      <c r="B495" s="1" t="s">
        <v>3621</v>
      </c>
      <c r="C495" s="1"/>
      <c r="D495" s="1" t="s">
        <v>1938</v>
      </c>
      <c r="E495" s="1" t="s">
        <v>1939</v>
      </c>
      <c r="F495" s="1" t="s">
        <v>1940</v>
      </c>
      <c r="G495" s="5" t="s">
        <v>1941</v>
      </c>
      <c r="H495" s="1" t="s">
        <v>17</v>
      </c>
      <c r="I495" s="2">
        <v>46086</v>
      </c>
      <c r="J495" s="33">
        <f t="shared" si="96"/>
        <v>30812</v>
      </c>
      <c r="K495" s="3">
        <v>4142</v>
      </c>
      <c r="L495" s="3">
        <v>23362</v>
      </c>
      <c r="M495" s="3">
        <v>2308</v>
      </c>
      <c r="N495" s="3">
        <v>0</v>
      </c>
      <c r="O495" s="3">
        <v>1000</v>
      </c>
      <c r="P495" s="1" t="s">
        <v>1942</v>
      </c>
      <c r="Q495" s="3">
        <v>19645</v>
      </c>
      <c r="R495" s="25">
        <f t="shared" si="97"/>
        <v>0.63757626898610931</v>
      </c>
      <c r="S495" s="32">
        <f>Q495</f>
        <v>19645</v>
      </c>
      <c r="T495" s="31">
        <f t="shared" si="98"/>
        <v>-11167</v>
      </c>
      <c r="U495" s="1" t="s">
        <v>3616</v>
      </c>
      <c r="V495" s="16"/>
      <c r="W495" s="30">
        <f t="shared" si="89"/>
        <v>0</v>
      </c>
      <c r="X495" s="27">
        <f t="shared" si="99"/>
        <v>0.63757626898610931</v>
      </c>
      <c r="Y495" s="18"/>
      <c r="Z495" s="19"/>
    </row>
    <row r="496" spans="1:26" x14ac:dyDescent="0.35">
      <c r="A496" s="29">
        <v>1</v>
      </c>
      <c r="B496" s="1" t="s">
        <v>3621</v>
      </c>
      <c r="C496" s="1"/>
      <c r="D496" s="1" t="s">
        <v>2360</v>
      </c>
      <c r="E496" s="1" t="s">
        <v>2361</v>
      </c>
      <c r="F496" s="1" t="s">
        <v>2362</v>
      </c>
      <c r="G496" s="5" t="s">
        <v>2363</v>
      </c>
      <c r="H496" s="1" t="s">
        <v>17</v>
      </c>
      <c r="I496" s="2">
        <v>46086</v>
      </c>
      <c r="J496" s="33">
        <f t="shared" si="96"/>
        <v>30812</v>
      </c>
      <c r="K496" s="3">
        <v>4142</v>
      </c>
      <c r="L496" s="3">
        <v>23362</v>
      </c>
      <c r="M496" s="3">
        <v>2308</v>
      </c>
      <c r="N496" s="3">
        <v>0</v>
      </c>
      <c r="O496" s="3">
        <v>1000</v>
      </c>
      <c r="P496" s="1" t="s">
        <v>2364</v>
      </c>
      <c r="Q496" s="3">
        <v>83055</v>
      </c>
      <c r="R496" s="25">
        <f t="shared" si="97"/>
        <v>2.6955406984291836</v>
      </c>
      <c r="S496" s="32">
        <f>J496</f>
        <v>30812</v>
      </c>
      <c r="T496" s="3">
        <f t="shared" si="98"/>
        <v>0</v>
      </c>
      <c r="U496" s="1" t="s">
        <v>3615</v>
      </c>
      <c r="V496" s="16">
        <v>1</v>
      </c>
      <c r="W496" s="28">
        <f t="shared" si="89"/>
        <v>1</v>
      </c>
      <c r="X496" s="27">
        <f t="shared" si="99"/>
        <v>1</v>
      </c>
      <c r="Y496" s="18"/>
      <c r="Z496" s="19"/>
    </row>
    <row r="497" spans="1:26" x14ac:dyDescent="0.35">
      <c r="A497" s="29">
        <v>1</v>
      </c>
      <c r="B497" s="1" t="s">
        <v>3621</v>
      </c>
      <c r="C497" s="1"/>
      <c r="D497" s="1" t="s">
        <v>2472</v>
      </c>
      <c r="E497" s="1" t="s">
        <v>2473</v>
      </c>
      <c r="F497" s="1" t="s">
        <v>2474</v>
      </c>
      <c r="G497" s="5" t="s">
        <v>2475</v>
      </c>
      <c r="H497" s="1" t="s">
        <v>17</v>
      </c>
      <c r="I497" s="2">
        <v>46086</v>
      </c>
      <c r="J497" s="33">
        <f t="shared" si="96"/>
        <v>25469</v>
      </c>
      <c r="K497" s="3">
        <v>18219</v>
      </c>
      <c r="L497" s="3">
        <v>0</v>
      </c>
      <c r="M497" s="3">
        <v>6250</v>
      </c>
      <c r="N497" s="3">
        <v>0</v>
      </c>
      <c r="O497" s="3">
        <v>1000</v>
      </c>
      <c r="P497" s="1" t="s">
        <v>2476</v>
      </c>
      <c r="Q497" s="3">
        <v>60089</v>
      </c>
      <c r="R497" s="25">
        <f t="shared" si="97"/>
        <v>2.3592995406180064</v>
      </c>
      <c r="S497" s="32">
        <f>J497</f>
        <v>25469</v>
      </c>
      <c r="T497" s="3">
        <f t="shared" si="98"/>
        <v>0</v>
      </c>
      <c r="U497" s="1" t="s">
        <v>3615</v>
      </c>
      <c r="V497" s="16">
        <v>1</v>
      </c>
      <c r="W497" s="28">
        <f t="shared" si="89"/>
        <v>1</v>
      </c>
      <c r="X497" s="27">
        <f t="shared" si="99"/>
        <v>1</v>
      </c>
      <c r="Y497" s="18"/>
      <c r="Z497" s="19"/>
    </row>
    <row r="498" spans="1:26" x14ac:dyDescent="0.35">
      <c r="A498" s="29">
        <v>1</v>
      </c>
      <c r="B498" s="1" t="s">
        <v>3621</v>
      </c>
      <c r="C498" s="1"/>
      <c r="D498" s="1" t="s">
        <v>2266</v>
      </c>
      <c r="E498" s="1" t="s">
        <v>2267</v>
      </c>
      <c r="F498" s="1" t="s">
        <v>2268</v>
      </c>
      <c r="G498" s="5" t="s">
        <v>2269</v>
      </c>
      <c r="H498" s="1" t="s">
        <v>17</v>
      </c>
      <c r="I498" s="2">
        <v>46086</v>
      </c>
      <c r="J498" s="33">
        <f t="shared" si="96"/>
        <v>82194</v>
      </c>
      <c r="K498" s="3">
        <v>13808</v>
      </c>
      <c r="L498" s="3">
        <v>61136</v>
      </c>
      <c r="M498" s="3">
        <v>6250</v>
      </c>
      <c r="N498" s="3">
        <v>0</v>
      </c>
      <c r="O498" s="3">
        <v>1000</v>
      </c>
      <c r="P498" s="1" t="s">
        <v>2270</v>
      </c>
      <c r="Q498" s="3">
        <v>43520</v>
      </c>
      <c r="R498" s="25">
        <f t="shared" si="97"/>
        <v>0.52947903739932356</v>
      </c>
      <c r="S498" s="32">
        <f>Q498</f>
        <v>43520</v>
      </c>
      <c r="T498" s="31">
        <f t="shared" si="98"/>
        <v>-38674</v>
      </c>
      <c r="U498" s="1" t="s">
        <v>3616</v>
      </c>
      <c r="V498" s="16"/>
      <c r="W498" s="30">
        <f t="shared" si="89"/>
        <v>0</v>
      </c>
      <c r="X498" s="27">
        <f t="shared" si="99"/>
        <v>0.52947903739932356</v>
      </c>
      <c r="Y498" s="18"/>
      <c r="Z498" s="19"/>
    </row>
    <row r="499" spans="1:26" x14ac:dyDescent="0.35">
      <c r="A499" s="29">
        <v>1</v>
      </c>
      <c r="B499" s="1" t="s">
        <v>3621</v>
      </c>
      <c r="C499" s="1"/>
      <c r="D499" s="1" t="s">
        <v>2156</v>
      </c>
      <c r="E499" s="1" t="s">
        <v>2157</v>
      </c>
      <c r="F499" s="1" t="s">
        <v>2158</v>
      </c>
      <c r="G499" s="5" t="s">
        <v>2159</v>
      </c>
      <c r="H499" s="1" t="s">
        <v>17</v>
      </c>
      <c r="I499" s="2">
        <v>46086</v>
      </c>
      <c r="J499" s="33">
        <f t="shared" si="96"/>
        <v>139138</v>
      </c>
      <c r="K499" s="3">
        <v>26277</v>
      </c>
      <c r="L499" s="3">
        <v>101335</v>
      </c>
      <c r="M499" s="3">
        <v>10526</v>
      </c>
      <c r="N499" s="3">
        <v>0</v>
      </c>
      <c r="O499" s="3">
        <v>1000</v>
      </c>
      <c r="P499" s="1" t="s">
        <v>2160</v>
      </c>
      <c r="Q499" s="3">
        <v>177279</v>
      </c>
      <c r="R499" s="25">
        <f t="shared" si="97"/>
        <v>1.2741235320329458</v>
      </c>
      <c r="S499" s="32">
        <f>J499</f>
        <v>139138</v>
      </c>
      <c r="T499" s="3">
        <f t="shared" si="98"/>
        <v>0</v>
      </c>
      <c r="U499" s="1" t="s">
        <v>3615</v>
      </c>
      <c r="V499" s="16">
        <v>1</v>
      </c>
      <c r="W499" s="28">
        <f t="shared" si="89"/>
        <v>1</v>
      </c>
      <c r="X499" s="27">
        <f t="shared" si="99"/>
        <v>1</v>
      </c>
      <c r="Y499" s="18"/>
      <c r="Z499" s="19"/>
    </row>
    <row r="500" spans="1:26" x14ac:dyDescent="0.35">
      <c r="A500" s="29">
        <v>1</v>
      </c>
      <c r="B500" s="1" t="s">
        <v>3621</v>
      </c>
      <c r="C500" s="1"/>
      <c r="D500" s="1" t="s">
        <v>2099</v>
      </c>
      <c r="E500" s="1" t="s">
        <v>2100</v>
      </c>
      <c r="F500" s="1" t="s">
        <v>2101</v>
      </c>
      <c r="G500" s="5" t="s">
        <v>2102</v>
      </c>
      <c r="H500" s="1" t="s">
        <v>17</v>
      </c>
      <c r="I500" s="2">
        <v>46086</v>
      </c>
      <c r="J500" s="33">
        <f t="shared" si="96"/>
        <v>203986</v>
      </c>
      <c r="K500" s="3">
        <v>28230</v>
      </c>
      <c r="L500" s="3">
        <v>159131</v>
      </c>
      <c r="M500" s="3">
        <v>15625</v>
      </c>
      <c r="N500" s="3">
        <v>0</v>
      </c>
      <c r="O500" s="3">
        <v>1000</v>
      </c>
      <c r="P500" s="1" t="s">
        <v>2103</v>
      </c>
      <c r="Q500" s="3">
        <v>490911</v>
      </c>
      <c r="R500" s="25">
        <f t="shared" si="97"/>
        <v>2.4065916288372731</v>
      </c>
      <c r="S500" s="32">
        <f>J500</f>
        <v>203986</v>
      </c>
      <c r="T500" s="3">
        <f t="shared" si="98"/>
        <v>0</v>
      </c>
      <c r="U500" s="1" t="s">
        <v>3615</v>
      </c>
      <c r="V500" s="16">
        <v>1</v>
      </c>
      <c r="W500" s="28">
        <f t="shared" si="89"/>
        <v>1</v>
      </c>
      <c r="X500" s="27">
        <f t="shared" si="99"/>
        <v>1</v>
      </c>
      <c r="Y500" s="18"/>
      <c r="Z500" s="19"/>
    </row>
    <row r="501" spans="1:26" x14ac:dyDescent="0.35">
      <c r="A501" s="29">
        <v>1</v>
      </c>
      <c r="B501" s="1" t="s">
        <v>3621</v>
      </c>
      <c r="C501" s="1"/>
      <c r="D501" s="1" t="s">
        <v>2375</v>
      </c>
      <c r="E501" s="1" t="s">
        <v>2376</v>
      </c>
      <c r="F501" s="1" t="s">
        <v>2377</v>
      </c>
      <c r="G501" s="5" t="s">
        <v>2378</v>
      </c>
      <c r="H501" s="1" t="s">
        <v>17</v>
      </c>
      <c r="I501" s="2">
        <v>46086</v>
      </c>
      <c r="J501" s="33">
        <f t="shared" si="96"/>
        <v>30812</v>
      </c>
      <c r="K501" s="3">
        <v>4142</v>
      </c>
      <c r="L501" s="3">
        <v>23362</v>
      </c>
      <c r="M501" s="3">
        <v>2308</v>
      </c>
      <c r="N501" s="3">
        <v>0</v>
      </c>
      <c r="O501" s="3">
        <v>1000</v>
      </c>
      <c r="P501" s="1" t="s">
        <v>2379</v>
      </c>
      <c r="Q501" s="3">
        <v>50300</v>
      </c>
      <c r="R501" s="25">
        <f t="shared" si="97"/>
        <v>1.6324808516162534</v>
      </c>
      <c r="S501" s="32">
        <f>J501</f>
        <v>30812</v>
      </c>
      <c r="T501" s="3">
        <f t="shared" si="98"/>
        <v>0</v>
      </c>
      <c r="U501" s="1" t="s">
        <v>3615</v>
      </c>
      <c r="V501" s="16">
        <v>1</v>
      </c>
      <c r="W501" s="28">
        <f t="shared" si="89"/>
        <v>1</v>
      </c>
      <c r="X501" s="27">
        <f t="shared" si="99"/>
        <v>1</v>
      </c>
      <c r="Y501" s="18"/>
      <c r="Z501" s="19"/>
    </row>
    <row r="502" spans="1:26" x14ac:dyDescent="0.35">
      <c r="A502" s="29">
        <v>1</v>
      </c>
      <c r="B502" s="1" t="s">
        <v>3621</v>
      </c>
      <c r="C502" s="1"/>
      <c r="D502" s="1" t="s">
        <v>1948</v>
      </c>
      <c r="E502" s="1" t="s">
        <v>1949</v>
      </c>
      <c r="F502" s="1" t="s">
        <v>1950</v>
      </c>
      <c r="G502" s="5" t="s">
        <v>1951</v>
      </c>
      <c r="H502" s="1" t="s">
        <v>32</v>
      </c>
      <c r="I502" s="2">
        <v>46086</v>
      </c>
      <c r="J502" s="33">
        <f t="shared" si="96"/>
        <v>74485</v>
      </c>
      <c r="K502" s="3">
        <v>10957</v>
      </c>
      <c r="L502" s="3">
        <v>56972</v>
      </c>
      <c r="M502" s="3">
        <v>5556</v>
      </c>
      <c r="N502" s="3">
        <v>0</v>
      </c>
      <c r="O502" s="3">
        <v>1000</v>
      </c>
      <c r="P502" s="1" t="s">
        <v>1952</v>
      </c>
      <c r="Q502" s="3">
        <v>80207</v>
      </c>
      <c r="R502" s="25">
        <f t="shared" si="97"/>
        <v>1.0768208364100154</v>
      </c>
      <c r="S502" s="32">
        <f>J502</f>
        <v>74485</v>
      </c>
      <c r="T502" s="3">
        <f t="shared" si="98"/>
        <v>0</v>
      </c>
      <c r="U502" s="1" t="s">
        <v>3615</v>
      </c>
      <c r="V502" s="16">
        <v>1</v>
      </c>
      <c r="W502" s="28">
        <f t="shared" si="89"/>
        <v>1</v>
      </c>
      <c r="X502" s="27">
        <f t="shared" si="99"/>
        <v>1</v>
      </c>
      <c r="Y502" s="18"/>
      <c r="Z502" s="19"/>
    </row>
    <row r="503" spans="1:26" x14ac:dyDescent="0.35">
      <c r="A503" s="29">
        <v>1</v>
      </c>
      <c r="B503" s="1" t="s">
        <v>3621</v>
      </c>
      <c r="C503" s="1"/>
      <c r="D503" s="1" t="s">
        <v>1928</v>
      </c>
      <c r="E503" s="1" t="s">
        <v>1929</v>
      </c>
      <c r="F503" s="1" t="s">
        <v>1930</v>
      </c>
      <c r="G503" s="5" t="s">
        <v>1931</v>
      </c>
      <c r="H503" s="1" t="s">
        <v>17</v>
      </c>
      <c r="I503" s="2">
        <v>46086</v>
      </c>
      <c r="J503" s="33">
        <f t="shared" si="96"/>
        <v>82194</v>
      </c>
      <c r="K503" s="3">
        <v>12984</v>
      </c>
      <c r="L503" s="3">
        <v>61960</v>
      </c>
      <c r="M503" s="3">
        <v>6250</v>
      </c>
      <c r="N503" s="3">
        <v>0</v>
      </c>
      <c r="O503" s="3">
        <v>1000</v>
      </c>
      <c r="P503" s="1" t="s">
        <v>1932</v>
      </c>
      <c r="Q503" s="3">
        <v>318205</v>
      </c>
      <c r="R503" s="25">
        <f t="shared" si="97"/>
        <v>3.8713896391464098</v>
      </c>
      <c r="S503" s="32">
        <f>J503</f>
        <v>82194</v>
      </c>
      <c r="T503" s="3">
        <f t="shared" si="98"/>
        <v>0</v>
      </c>
      <c r="U503" s="1" t="s">
        <v>3615</v>
      </c>
      <c r="V503" s="16">
        <v>1</v>
      </c>
      <c r="W503" s="28">
        <f t="shared" si="89"/>
        <v>1</v>
      </c>
      <c r="X503" s="27">
        <f t="shared" si="99"/>
        <v>1</v>
      </c>
      <c r="Y503" s="18"/>
      <c r="Z503" s="19"/>
    </row>
    <row r="504" spans="1:26" x14ac:dyDescent="0.35">
      <c r="A504" s="29">
        <v>1</v>
      </c>
      <c r="B504" s="1" t="s">
        <v>3621</v>
      </c>
      <c r="C504" s="1"/>
      <c r="D504" s="1" t="s">
        <v>2132</v>
      </c>
      <c r="E504" s="1" t="s">
        <v>2133</v>
      </c>
      <c r="F504" s="1" t="s">
        <v>2134</v>
      </c>
      <c r="G504" s="5" t="s">
        <v>2135</v>
      </c>
      <c r="H504" s="1" t="s">
        <v>17</v>
      </c>
      <c r="I504" s="2">
        <v>46086</v>
      </c>
      <c r="J504" s="33">
        <f t="shared" si="96"/>
        <v>55430</v>
      </c>
      <c r="K504" s="3">
        <v>7520</v>
      </c>
      <c r="L504" s="3">
        <v>42743</v>
      </c>
      <c r="M504" s="3">
        <v>4167</v>
      </c>
      <c r="N504" s="3">
        <v>0</v>
      </c>
      <c r="O504" s="3">
        <v>1000</v>
      </c>
      <c r="P504" s="1" t="s">
        <v>2136</v>
      </c>
      <c r="Q504" s="3">
        <v>34131</v>
      </c>
      <c r="R504" s="25">
        <f t="shared" si="97"/>
        <v>0.61574959408262675</v>
      </c>
      <c r="S504" s="32">
        <f>Q504</f>
        <v>34131</v>
      </c>
      <c r="T504" s="31">
        <f t="shared" si="98"/>
        <v>-21299</v>
      </c>
      <c r="U504" s="1" t="s">
        <v>3616</v>
      </c>
      <c r="V504" s="16"/>
      <c r="W504" s="30">
        <f t="shared" si="89"/>
        <v>0</v>
      </c>
      <c r="X504" s="27">
        <f t="shared" si="99"/>
        <v>0.61574959408262675</v>
      </c>
      <c r="Y504" s="18"/>
      <c r="Z504" s="19"/>
    </row>
    <row r="505" spans="1:26" x14ac:dyDescent="0.35">
      <c r="A505" s="29">
        <v>1</v>
      </c>
      <c r="B505" s="1" t="s">
        <v>3621</v>
      </c>
      <c r="C505" s="1"/>
      <c r="D505" s="1" t="s">
        <v>2276</v>
      </c>
      <c r="E505" s="1" t="s">
        <v>2277</v>
      </c>
      <c r="F505" s="1" t="s">
        <v>21</v>
      </c>
      <c r="G505" s="5" t="s">
        <v>2278</v>
      </c>
      <c r="H505" s="1" t="s">
        <v>17</v>
      </c>
      <c r="I505" s="2">
        <v>46086</v>
      </c>
      <c r="J505" s="33">
        <f t="shared" si="96"/>
        <v>70546</v>
      </c>
      <c r="K505" s="3">
        <v>14575</v>
      </c>
      <c r="L505" s="3">
        <v>49708</v>
      </c>
      <c r="M505" s="3">
        <v>5263</v>
      </c>
      <c r="N505" s="3">
        <v>0</v>
      </c>
      <c r="O505" s="3">
        <v>1000</v>
      </c>
      <c r="P505" s="1" t="s">
        <v>2279</v>
      </c>
      <c r="Q505" s="3">
        <v>58086</v>
      </c>
      <c r="R505" s="25">
        <f t="shared" si="97"/>
        <v>0.82337765429648735</v>
      </c>
      <c r="S505" s="32">
        <f>Q505</f>
        <v>58086</v>
      </c>
      <c r="T505" s="31">
        <f t="shared" si="98"/>
        <v>-12460</v>
      </c>
      <c r="U505" s="1" t="s">
        <v>3616</v>
      </c>
      <c r="V505" s="16"/>
      <c r="W505" s="30">
        <f t="shared" si="89"/>
        <v>0</v>
      </c>
      <c r="X505" s="27">
        <f t="shared" si="99"/>
        <v>0.82337765429648735</v>
      </c>
      <c r="Y505" s="18"/>
      <c r="Z505" s="19"/>
    </row>
    <row r="506" spans="1:26" x14ac:dyDescent="0.35">
      <c r="A506" s="29">
        <v>1</v>
      </c>
      <c r="B506" s="1" t="s">
        <v>3621</v>
      </c>
      <c r="C506" s="1"/>
      <c r="D506" s="1" t="s">
        <v>2290</v>
      </c>
      <c r="E506" s="1" t="s">
        <v>2291</v>
      </c>
      <c r="F506" s="1" t="s">
        <v>21</v>
      </c>
      <c r="G506" s="5" t="s">
        <v>2292</v>
      </c>
      <c r="H506" s="1" t="s">
        <v>17</v>
      </c>
      <c r="I506" s="2">
        <v>46086</v>
      </c>
      <c r="J506" s="33">
        <f t="shared" si="96"/>
        <v>30812</v>
      </c>
      <c r="K506" s="3">
        <v>3176</v>
      </c>
      <c r="L506" s="3">
        <v>24328</v>
      </c>
      <c r="M506" s="3">
        <v>2308</v>
      </c>
      <c r="N506" s="3">
        <v>0</v>
      </c>
      <c r="O506" s="3">
        <v>1000</v>
      </c>
      <c r="P506" s="1" t="s">
        <v>2293</v>
      </c>
      <c r="Q506" s="3">
        <v>132390</v>
      </c>
      <c r="R506" s="25">
        <f t="shared" si="97"/>
        <v>4.2967025834090613</v>
      </c>
      <c r="S506" s="32">
        <f>J506</f>
        <v>30812</v>
      </c>
      <c r="T506" s="3">
        <f t="shared" si="98"/>
        <v>0</v>
      </c>
      <c r="U506" s="1" t="s">
        <v>3615</v>
      </c>
      <c r="V506" s="16">
        <v>1</v>
      </c>
      <c r="W506" s="28">
        <f t="shared" si="89"/>
        <v>1</v>
      </c>
      <c r="X506" s="27">
        <f t="shared" si="99"/>
        <v>1</v>
      </c>
      <c r="Y506" s="18"/>
      <c r="Z506" s="19"/>
    </row>
    <row r="507" spans="1:26" x14ac:dyDescent="0.35">
      <c r="A507" s="29">
        <v>1</v>
      </c>
      <c r="B507" s="1" t="s">
        <v>3621</v>
      </c>
      <c r="C507" s="1"/>
      <c r="D507" s="1" t="s">
        <v>2468</v>
      </c>
      <c r="E507" s="1" t="s">
        <v>2469</v>
      </c>
      <c r="F507" s="1" t="s">
        <v>21</v>
      </c>
      <c r="G507" s="5" t="s">
        <v>2470</v>
      </c>
      <c r="H507" s="1" t="s">
        <v>17</v>
      </c>
      <c r="I507" s="2">
        <v>46086</v>
      </c>
      <c r="J507" s="33">
        <f t="shared" si="96"/>
        <v>8774</v>
      </c>
      <c r="K507" s="3">
        <v>5466</v>
      </c>
      <c r="L507" s="3">
        <v>0</v>
      </c>
      <c r="M507" s="3">
        <v>2308</v>
      </c>
      <c r="N507" s="3">
        <v>0</v>
      </c>
      <c r="O507" s="3">
        <v>1000</v>
      </c>
      <c r="P507" s="1" t="s">
        <v>2471</v>
      </c>
      <c r="Q507" s="3">
        <v>5400</v>
      </c>
      <c r="R507" s="25">
        <f t="shared" si="97"/>
        <v>0.61545475267836791</v>
      </c>
      <c r="S507" s="32">
        <f>Q507</f>
        <v>5400</v>
      </c>
      <c r="T507" s="31">
        <f t="shared" si="98"/>
        <v>-3374</v>
      </c>
      <c r="U507" s="1" t="s">
        <v>3616</v>
      </c>
      <c r="V507" s="16"/>
      <c r="W507" s="30">
        <f t="shared" si="89"/>
        <v>0</v>
      </c>
      <c r="X507" s="27">
        <f t="shared" si="99"/>
        <v>0.61545475267836791</v>
      </c>
      <c r="Y507" s="18"/>
      <c r="Z507" s="19"/>
    </row>
    <row r="508" spans="1:26" x14ac:dyDescent="0.35">
      <c r="A508" s="29">
        <v>1</v>
      </c>
      <c r="B508" s="1" t="s">
        <v>3621</v>
      </c>
      <c r="C508" s="1"/>
      <c r="D508" s="1" t="s">
        <v>1987</v>
      </c>
      <c r="E508" s="1" t="s">
        <v>1988</v>
      </c>
      <c r="F508" s="1" t="s">
        <v>21</v>
      </c>
      <c r="G508" s="5" t="s">
        <v>1989</v>
      </c>
      <c r="H508" s="1" t="s">
        <v>17</v>
      </c>
      <c r="I508" s="2">
        <v>46086</v>
      </c>
      <c r="J508" s="33">
        <f t="shared" si="96"/>
        <v>30955</v>
      </c>
      <c r="K508" s="3">
        <v>2652</v>
      </c>
      <c r="L508" s="3">
        <v>24995</v>
      </c>
      <c r="M508" s="3">
        <v>2308</v>
      </c>
      <c r="N508" s="3">
        <v>0</v>
      </c>
      <c r="O508" s="3">
        <v>1000</v>
      </c>
      <c r="P508" s="1" t="s">
        <v>1990</v>
      </c>
      <c r="Q508" s="3">
        <v>1500</v>
      </c>
      <c r="R508" s="25">
        <f t="shared" si="97"/>
        <v>4.8457438216766277E-2</v>
      </c>
      <c r="S508" s="32">
        <f>Q508</f>
        <v>1500</v>
      </c>
      <c r="T508" s="31">
        <f t="shared" si="98"/>
        <v>-29455</v>
      </c>
      <c r="U508" s="1" t="s">
        <v>3616</v>
      </c>
      <c r="V508" s="16"/>
      <c r="W508" s="30">
        <f t="shared" si="89"/>
        <v>0</v>
      </c>
      <c r="X508" s="27">
        <f t="shared" si="99"/>
        <v>4.8457438216766277E-2</v>
      </c>
      <c r="Y508" s="18"/>
      <c r="Z508" s="19"/>
    </row>
    <row r="509" spans="1:26" x14ac:dyDescent="0.35">
      <c r="A509" s="29">
        <v>1</v>
      </c>
      <c r="B509" s="1" t="s">
        <v>3621</v>
      </c>
      <c r="C509" s="1"/>
      <c r="D509" s="1" t="s">
        <v>2152</v>
      </c>
      <c r="E509" s="1" t="s">
        <v>2153</v>
      </c>
      <c r="F509" s="1" t="s">
        <v>21</v>
      </c>
      <c r="G509" s="5" t="s">
        <v>2154</v>
      </c>
      <c r="H509" s="1" t="s">
        <v>17</v>
      </c>
      <c r="I509" s="2">
        <v>46086</v>
      </c>
      <c r="J509" s="33">
        <f t="shared" si="96"/>
        <v>147914</v>
      </c>
      <c r="K509" s="3">
        <v>29260</v>
      </c>
      <c r="L509" s="3">
        <v>106543</v>
      </c>
      <c r="M509" s="3">
        <v>11111</v>
      </c>
      <c r="N509" s="3">
        <v>0</v>
      </c>
      <c r="O509" s="3">
        <v>1000</v>
      </c>
      <c r="P509" s="1" t="s">
        <v>2155</v>
      </c>
      <c r="Q509" s="3">
        <v>0</v>
      </c>
      <c r="R509" s="25">
        <f t="shared" si="97"/>
        <v>0</v>
      </c>
      <c r="S509" s="32">
        <f>Q509</f>
        <v>0</v>
      </c>
      <c r="T509" s="31">
        <f t="shared" si="98"/>
        <v>-147914</v>
      </c>
      <c r="U509" s="1" t="s">
        <v>3616</v>
      </c>
      <c r="V509" s="16"/>
      <c r="W509" s="30">
        <f t="shared" si="89"/>
        <v>0</v>
      </c>
      <c r="X509" s="27">
        <f t="shared" si="99"/>
        <v>0</v>
      </c>
      <c r="Y509" s="18"/>
      <c r="Z509" s="19"/>
    </row>
    <row r="510" spans="1:26" x14ac:dyDescent="0.35">
      <c r="A510" s="29">
        <v>1</v>
      </c>
      <c r="B510" s="1" t="s">
        <v>3621</v>
      </c>
      <c r="C510" s="1"/>
      <c r="D510" s="1" t="s">
        <v>2410</v>
      </c>
      <c r="E510" s="1" t="s">
        <v>2411</v>
      </c>
      <c r="F510" s="1" t="s">
        <v>21</v>
      </c>
      <c r="G510" s="5" t="s">
        <v>2412</v>
      </c>
      <c r="H510" s="1" t="s">
        <v>17</v>
      </c>
      <c r="I510" s="2">
        <v>46086</v>
      </c>
      <c r="J510" s="33">
        <f t="shared" si="96"/>
        <v>20874</v>
      </c>
      <c r="K510" s="3">
        <v>2762</v>
      </c>
      <c r="L510" s="3">
        <v>15574</v>
      </c>
      <c r="M510" s="3">
        <v>1538</v>
      </c>
      <c r="N510" s="3">
        <v>0</v>
      </c>
      <c r="O510" s="3">
        <v>1000</v>
      </c>
      <c r="P510" s="1" t="s">
        <v>2413</v>
      </c>
      <c r="Q510" s="3">
        <v>23837</v>
      </c>
      <c r="R510" s="25">
        <f t="shared" si="97"/>
        <v>1.1419469196129155</v>
      </c>
      <c r="S510" s="32">
        <f>J510</f>
        <v>20874</v>
      </c>
      <c r="T510" s="3">
        <f t="shared" si="98"/>
        <v>0</v>
      </c>
      <c r="U510" s="1" t="s">
        <v>3615</v>
      </c>
      <c r="V510" s="16">
        <v>1</v>
      </c>
      <c r="W510" s="28">
        <f t="shared" si="89"/>
        <v>1</v>
      </c>
      <c r="X510" s="27">
        <f t="shared" si="99"/>
        <v>1</v>
      </c>
      <c r="Y510" s="18"/>
      <c r="Z510" s="19"/>
    </row>
    <row r="511" spans="1:26" x14ac:dyDescent="0.35">
      <c r="A511" s="29">
        <v>1</v>
      </c>
      <c r="B511" s="1" t="s">
        <v>3621</v>
      </c>
      <c r="C511" s="1"/>
      <c r="D511" s="1" t="s">
        <v>1890</v>
      </c>
      <c r="E511" s="1" t="s">
        <v>1891</v>
      </c>
      <c r="F511" s="1" t="s">
        <v>21</v>
      </c>
      <c r="G511" s="5" t="s">
        <v>1892</v>
      </c>
      <c r="H511" s="1" t="s">
        <v>17</v>
      </c>
      <c r="I511" s="2">
        <v>46086</v>
      </c>
      <c r="J511" s="33">
        <f t="shared" si="96"/>
        <v>70895</v>
      </c>
      <c r="K511" s="3">
        <v>7833</v>
      </c>
      <c r="L511" s="3">
        <v>56677</v>
      </c>
      <c r="M511" s="3">
        <v>5385</v>
      </c>
      <c r="N511" s="3">
        <v>0</v>
      </c>
      <c r="O511" s="3">
        <v>1000</v>
      </c>
      <c r="P511" s="1" t="s">
        <v>1893</v>
      </c>
      <c r="Q511" s="3">
        <v>38272</v>
      </c>
      <c r="R511" s="25">
        <f t="shared" si="97"/>
        <v>0.5398406093518584</v>
      </c>
      <c r="S511" s="32">
        <f>Q511</f>
        <v>38272</v>
      </c>
      <c r="T511" s="31">
        <f t="shared" si="98"/>
        <v>-32623</v>
      </c>
      <c r="U511" s="1" t="s">
        <v>3616</v>
      </c>
      <c r="V511" s="16"/>
      <c r="W511" s="30">
        <f t="shared" si="89"/>
        <v>0</v>
      </c>
      <c r="X511" s="27">
        <f t="shared" si="99"/>
        <v>0.5398406093518584</v>
      </c>
      <c r="Y511" s="18"/>
      <c r="Z511" s="19"/>
    </row>
    <row r="512" spans="1:26" x14ac:dyDescent="0.35">
      <c r="A512" s="29">
        <v>1</v>
      </c>
      <c r="B512" s="1" t="s">
        <v>3621</v>
      </c>
      <c r="C512" s="1"/>
      <c r="D512" s="1" t="s">
        <v>2442</v>
      </c>
      <c r="E512" s="1" t="s">
        <v>2443</v>
      </c>
      <c r="F512" s="1" t="s">
        <v>21</v>
      </c>
      <c r="G512" s="5" t="s">
        <v>2444</v>
      </c>
      <c r="H512" s="1" t="s">
        <v>17</v>
      </c>
      <c r="I512" s="2">
        <v>46086</v>
      </c>
      <c r="J512" s="33">
        <f t="shared" si="96"/>
        <v>10612</v>
      </c>
      <c r="K512" s="3">
        <v>5326</v>
      </c>
      <c r="L512" s="3">
        <v>0</v>
      </c>
      <c r="M512" s="3">
        <v>4286</v>
      </c>
      <c r="N512" s="3">
        <v>0</v>
      </c>
      <c r="O512" s="3">
        <v>1000</v>
      </c>
      <c r="P512" s="1" t="s">
        <v>2445</v>
      </c>
      <c r="Q512" s="3">
        <v>4546</v>
      </c>
      <c r="R512" s="25">
        <f t="shared" si="97"/>
        <v>0.42838296268375425</v>
      </c>
      <c r="S512" s="32">
        <f>Q512</f>
        <v>4546</v>
      </c>
      <c r="T512" s="31">
        <f t="shared" si="98"/>
        <v>-6066</v>
      </c>
      <c r="U512" s="1" t="s">
        <v>3616</v>
      </c>
      <c r="V512" s="16"/>
      <c r="W512" s="30">
        <f t="shared" si="89"/>
        <v>0</v>
      </c>
      <c r="X512" s="27">
        <f t="shared" si="99"/>
        <v>0.42838296268375425</v>
      </c>
      <c r="Y512" s="18"/>
      <c r="Z512" s="19"/>
    </row>
    <row r="513" spans="1:26" x14ac:dyDescent="0.35">
      <c r="A513" s="29">
        <v>1</v>
      </c>
      <c r="B513" s="1" t="s">
        <v>3621</v>
      </c>
      <c r="C513" s="1"/>
      <c r="D513" s="1" t="s">
        <v>2169</v>
      </c>
      <c r="E513" s="1" t="s">
        <v>2170</v>
      </c>
      <c r="F513" s="1" t="s">
        <v>21</v>
      </c>
      <c r="G513" s="5" t="s">
        <v>2171</v>
      </c>
      <c r="H513" s="1" t="s">
        <v>17</v>
      </c>
      <c r="I513" s="2">
        <v>46086</v>
      </c>
      <c r="J513" s="33">
        <f t="shared" si="96"/>
        <v>346345</v>
      </c>
      <c r="K513" s="3">
        <v>65691</v>
      </c>
      <c r="L513" s="3">
        <v>253338</v>
      </c>
      <c r="M513" s="3">
        <v>26316</v>
      </c>
      <c r="N513" s="3">
        <v>0</v>
      </c>
      <c r="O513" s="3">
        <v>1000</v>
      </c>
      <c r="P513" s="1" t="s">
        <v>2172</v>
      </c>
      <c r="Q513" s="3">
        <v>667171</v>
      </c>
      <c r="R513" s="25">
        <f t="shared" si="97"/>
        <v>1.9263191326567439</v>
      </c>
      <c r="S513" s="32">
        <f>J513</f>
        <v>346345</v>
      </c>
      <c r="T513" s="3">
        <f t="shared" si="98"/>
        <v>0</v>
      </c>
      <c r="U513" s="1" t="s">
        <v>3615</v>
      </c>
      <c r="V513" s="16">
        <v>1</v>
      </c>
      <c r="W513" s="28">
        <f t="shared" si="89"/>
        <v>1</v>
      </c>
      <c r="X513" s="27">
        <f t="shared" si="99"/>
        <v>1</v>
      </c>
      <c r="Y513" s="18"/>
      <c r="Z513" s="19"/>
    </row>
    <row r="514" spans="1:26" x14ac:dyDescent="0.35">
      <c r="A514" s="29">
        <v>1</v>
      </c>
      <c r="B514" s="1" t="s">
        <v>3621</v>
      </c>
      <c r="C514" s="1"/>
      <c r="D514" s="1" t="s">
        <v>2451</v>
      </c>
      <c r="E514" s="1" t="s">
        <v>2452</v>
      </c>
      <c r="F514" s="1" t="s">
        <v>21</v>
      </c>
      <c r="G514" s="5" t="s">
        <v>2453</v>
      </c>
      <c r="H514" s="1" t="s">
        <v>17</v>
      </c>
      <c r="I514" s="2">
        <v>46086</v>
      </c>
      <c r="J514" s="33">
        <f t="shared" si="96"/>
        <v>9659</v>
      </c>
      <c r="K514" s="3">
        <v>5326</v>
      </c>
      <c r="L514" s="3">
        <v>0</v>
      </c>
      <c r="M514" s="3">
        <v>3333</v>
      </c>
      <c r="N514" s="3">
        <v>0</v>
      </c>
      <c r="O514" s="3">
        <v>1000</v>
      </c>
      <c r="P514" s="1" t="s">
        <v>2454</v>
      </c>
      <c r="Q514" s="3">
        <v>33150</v>
      </c>
      <c r="R514" s="25">
        <f t="shared" si="97"/>
        <v>3.4320323014804845</v>
      </c>
      <c r="S514" s="32">
        <f>J514</f>
        <v>9659</v>
      </c>
      <c r="T514" s="3">
        <f t="shared" si="98"/>
        <v>0</v>
      </c>
      <c r="U514" s="1" t="s">
        <v>3615</v>
      </c>
      <c r="V514" s="16">
        <v>1</v>
      </c>
      <c r="W514" s="28">
        <f t="shared" si="89"/>
        <v>1</v>
      </c>
      <c r="X514" s="27">
        <f t="shared" si="99"/>
        <v>1</v>
      </c>
      <c r="Y514" s="18"/>
      <c r="Z514" s="19"/>
    </row>
    <row r="515" spans="1:26" x14ac:dyDescent="0.35">
      <c r="A515" s="29">
        <v>1</v>
      </c>
      <c r="B515" s="1" t="s">
        <v>3621</v>
      </c>
      <c r="C515" s="1"/>
      <c r="D515" s="1" t="s">
        <v>2077</v>
      </c>
      <c r="E515" s="1" t="s">
        <v>2078</v>
      </c>
      <c r="F515" s="1" t="s">
        <v>21</v>
      </c>
      <c r="G515" s="5" t="s">
        <v>2079</v>
      </c>
      <c r="H515" s="1" t="s">
        <v>17</v>
      </c>
      <c r="I515" s="2">
        <v>46086</v>
      </c>
      <c r="J515" s="33">
        <f t="shared" si="96"/>
        <v>130184</v>
      </c>
      <c r="K515" s="3">
        <v>10865</v>
      </c>
      <c r="L515" s="3">
        <v>108319</v>
      </c>
      <c r="M515" s="3">
        <v>10000</v>
      </c>
      <c r="N515" s="3">
        <v>0</v>
      </c>
      <c r="O515" s="3">
        <v>1000</v>
      </c>
      <c r="P515" s="1" t="s">
        <v>2080</v>
      </c>
      <c r="Q515" s="3">
        <v>0</v>
      </c>
      <c r="R515" s="25">
        <f t="shared" si="97"/>
        <v>0</v>
      </c>
      <c r="S515" s="32">
        <f>Q515</f>
        <v>0</v>
      </c>
      <c r="T515" s="31">
        <f t="shared" si="98"/>
        <v>-130184</v>
      </c>
      <c r="U515" s="1" t="s">
        <v>3616</v>
      </c>
      <c r="V515" s="16"/>
      <c r="W515" s="30">
        <f t="shared" ref="W515:W578" si="100">V515/A515</f>
        <v>0</v>
      </c>
      <c r="X515" s="27">
        <f t="shared" si="99"/>
        <v>0</v>
      </c>
      <c r="Y515" s="18"/>
      <c r="Z515" s="19"/>
    </row>
    <row r="516" spans="1:26" x14ac:dyDescent="0.35">
      <c r="A516" s="29">
        <v>1</v>
      </c>
      <c r="B516" s="1" t="s">
        <v>3621</v>
      </c>
      <c r="C516" s="1"/>
      <c r="D516" s="1" t="s">
        <v>2312</v>
      </c>
      <c r="E516" s="1" t="s">
        <v>2313</v>
      </c>
      <c r="F516" s="1" t="s">
        <v>21</v>
      </c>
      <c r="G516" s="5" t="s">
        <v>2314</v>
      </c>
      <c r="H516" s="1" t="s">
        <v>32</v>
      </c>
      <c r="I516" s="2">
        <v>46086</v>
      </c>
      <c r="J516" s="33">
        <f t="shared" ref="J516:J547" si="101">SUM(K516:O516)</f>
        <v>70069</v>
      </c>
      <c r="K516" s="3">
        <v>11760</v>
      </c>
      <c r="L516" s="3">
        <v>52046</v>
      </c>
      <c r="M516" s="3">
        <v>5263</v>
      </c>
      <c r="N516" s="3">
        <v>0</v>
      </c>
      <c r="O516" s="3">
        <v>1000</v>
      </c>
      <c r="P516" s="1" t="s">
        <v>2315</v>
      </c>
      <c r="Q516" s="3">
        <v>388235</v>
      </c>
      <c r="R516" s="25">
        <f t="shared" ref="R516:R547" si="102">Q516/J516</f>
        <v>5.5407526866374575</v>
      </c>
      <c r="S516" s="32">
        <f>J516</f>
        <v>70069</v>
      </c>
      <c r="T516" s="3">
        <f t="shared" ref="T516:T547" si="103">S516-J516</f>
        <v>0</v>
      </c>
      <c r="U516" s="1" t="s">
        <v>3615</v>
      </c>
      <c r="V516" s="16">
        <v>1</v>
      </c>
      <c r="W516" s="28">
        <f t="shared" si="100"/>
        <v>1</v>
      </c>
      <c r="X516" s="27">
        <f t="shared" ref="X516:X547" si="104">S516/J516</f>
        <v>1</v>
      </c>
      <c r="Y516" s="18"/>
      <c r="Z516" s="19"/>
    </row>
    <row r="517" spans="1:26" x14ac:dyDescent="0.35">
      <c r="A517" s="29">
        <v>1</v>
      </c>
      <c r="B517" s="1" t="s">
        <v>3621</v>
      </c>
      <c r="C517" s="1"/>
      <c r="D517" s="1" t="s">
        <v>1970</v>
      </c>
      <c r="E517" s="1" t="s">
        <v>1971</v>
      </c>
      <c r="F517" s="1" t="s">
        <v>21</v>
      </c>
      <c r="G517" s="5" t="s">
        <v>1972</v>
      </c>
      <c r="H517" s="1" t="s">
        <v>17</v>
      </c>
      <c r="I517" s="2">
        <v>46086</v>
      </c>
      <c r="J517" s="33">
        <f t="shared" si="101"/>
        <v>60623</v>
      </c>
      <c r="K517" s="3">
        <v>5015</v>
      </c>
      <c r="L517" s="3">
        <v>49993</v>
      </c>
      <c r="M517" s="3">
        <v>4615</v>
      </c>
      <c r="N517" s="3">
        <v>0</v>
      </c>
      <c r="O517" s="3">
        <v>1000</v>
      </c>
      <c r="P517" s="1" t="s">
        <v>1973</v>
      </c>
      <c r="Q517" s="3">
        <v>3227</v>
      </c>
      <c r="R517" s="25">
        <f t="shared" si="102"/>
        <v>5.32306220411395E-2</v>
      </c>
      <c r="S517" s="32">
        <f>Q517</f>
        <v>3227</v>
      </c>
      <c r="T517" s="31">
        <f t="shared" si="103"/>
        <v>-57396</v>
      </c>
      <c r="U517" s="1" t="s">
        <v>3616</v>
      </c>
      <c r="V517" s="16"/>
      <c r="W517" s="30">
        <f t="shared" si="100"/>
        <v>0</v>
      </c>
      <c r="X517" s="27">
        <f t="shared" si="104"/>
        <v>5.32306220411395E-2</v>
      </c>
      <c r="Y517" s="18"/>
      <c r="Z517" s="19"/>
    </row>
    <row r="518" spans="1:26" x14ac:dyDescent="0.35">
      <c r="A518" s="29">
        <v>1</v>
      </c>
      <c r="B518" s="1" t="s">
        <v>3621</v>
      </c>
      <c r="C518" s="1"/>
      <c r="D518" s="1" t="s">
        <v>2218</v>
      </c>
      <c r="E518" s="1" t="s">
        <v>2219</v>
      </c>
      <c r="F518" s="1" t="s">
        <v>21</v>
      </c>
      <c r="G518" s="5" t="s">
        <v>2220</v>
      </c>
      <c r="H518" s="1" t="s">
        <v>17</v>
      </c>
      <c r="I518" s="2">
        <v>46086</v>
      </c>
      <c r="J518" s="33">
        <f t="shared" si="101"/>
        <v>50686</v>
      </c>
      <c r="K518" s="3">
        <v>6904</v>
      </c>
      <c r="L518" s="3">
        <v>38936</v>
      </c>
      <c r="M518" s="3">
        <v>3846</v>
      </c>
      <c r="N518" s="3">
        <v>0</v>
      </c>
      <c r="O518" s="3">
        <v>1000</v>
      </c>
      <c r="P518" s="1" t="s">
        <v>2221</v>
      </c>
      <c r="Q518" s="3">
        <v>114092</v>
      </c>
      <c r="R518" s="25">
        <f t="shared" si="102"/>
        <v>2.2509568717200015</v>
      </c>
      <c r="S518" s="32">
        <f>J518</f>
        <v>50686</v>
      </c>
      <c r="T518" s="3">
        <f t="shared" si="103"/>
        <v>0</v>
      </c>
      <c r="U518" s="1" t="s">
        <v>3615</v>
      </c>
      <c r="V518" s="16">
        <v>1</v>
      </c>
      <c r="W518" s="28">
        <f t="shared" si="100"/>
        <v>1</v>
      </c>
      <c r="X518" s="27">
        <f t="shared" si="104"/>
        <v>1</v>
      </c>
      <c r="Y518" s="18"/>
      <c r="Z518" s="19"/>
    </row>
    <row r="519" spans="1:26" x14ac:dyDescent="0.35">
      <c r="A519" s="29">
        <v>1</v>
      </c>
      <c r="B519" s="1" t="s">
        <v>3621</v>
      </c>
      <c r="C519" s="1"/>
      <c r="D519" s="1" t="s">
        <v>1958</v>
      </c>
      <c r="E519" s="1" t="s">
        <v>1959</v>
      </c>
      <c r="F519" s="1" t="s">
        <v>21</v>
      </c>
      <c r="G519" s="5" t="s">
        <v>1960</v>
      </c>
      <c r="H519" s="1" t="s">
        <v>17</v>
      </c>
      <c r="I519" s="2">
        <v>46086</v>
      </c>
      <c r="J519" s="33">
        <f t="shared" si="101"/>
        <v>50686</v>
      </c>
      <c r="K519" s="3">
        <v>4179</v>
      </c>
      <c r="L519" s="3">
        <v>41661</v>
      </c>
      <c r="M519" s="3">
        <v>3846</v>
      </c>
      <c r="N519" s="3">
        <v>0</v>
      </c>
      <c r="O519" s="3">
        <v>1000</v>
      </c>
      <c r="P519" s="1" t="s">
        <v>1961</v>
      </c>
      <c r="Q519" s="3">
        <v>12921</v>
      </c>
      <c r="R519" s="25">
        <f t="shared" si="102"/>
        <v>0.25492246379670913</v>
      </c>
      <c r="S519" s="32">
        <f t="shared" ref="S519:S526" si="105">Q519</f>
        <v>12921</v>
      </c>
      <c r="T519" s="31">
        <f t="shared" si="103"/>
        <v>-37765</v>
      </c>
      <c r="U519" s="1" t="s">
        <v>3616</v>
      </c>
      <c r="V519" s="16"/>
      <c r="W519" s="30">
        <f t="shared" si="100"/>
        <v>0</v>
      </c>
      <c r="X519" s="27">
        <f t="shared" si="104"/>
        <v>0.25492246379670913</v>
      </c>
      <c r="Y519" s="18"/>
      <c r="Z519" s="19"/>
    </row>
    <row r="520" spans="1:26" x14ac:dyDescent="0.35">
      <c r="A520" s="29">
        <v>1</v>
      </c>
      <c r="B520" s="1" t="s">
        <v>3621</v>
      </c>
      <c r="C520" s="1"/>
      <c r="D520" s="1" t="s">
        <v>2090</v>
      </c>
      <c r="E520" s="1" t="s">
        <v>2091</v>
      </c>
      <c r="F520" s="1" t="s">
        <v>21</v>
      </c>
      <c r="G520" s="5" t="s">
        <v>2092</v>
      </c>
      <c r="H520" s="1" t="s">
        <v>17</v>
      </c>
      <c r="I520" s="2">
        <v>46086</v>
      </c>
      <c r="J520" s="33">
        <f t="shared" si="101"/>
        <v>50924</v>
      </c>
      <c r="K520" s="3">
        <v>5595</v>
      </c>
      <c r="L520" s="3">
        <v>40483</v>
      </c>
      <c r="M520" s="3">
        <v>3846</v>
      </c>
      <c r="N520" s="3">
        <v>0</v>
      </c>
      <c r="O520" s="3">
        <v>1000</v>
      </c>
      <c r="P520" s="1" t="s">
        <v>2093</v>
      </c>
      <c r="Q520" s="3">
        <v>39932</v>
      </c>
      <c r="R520" s="25">
        <f t="shared" si="102"/>
        <v>0.78414892781399737</v>
      </c>
      <c r="S520" s="32">
        <f t="shared" si="105"/>
        <v>39932</v>
      </c>
      <c r="T520" s="31">
        <f t="shared" si="103"/>
        <v>-10992</v>
      </c>
      <c r="U520" s="1" t="s">
        <v>3616</v>
      </c>
      <c r="V520" s="16"/>
      <c r="W520" s="30">
        <f t="shared" si="100"/>
        <v>0</v>
      </c>
      <c r="X520" s="27">
        <f t="shared" si="104"/>
        <v>0.78414892781399737</v>
      </c>
      <c r="Y520" s="18"/>
      <c r="Z520" s="19"/>
    </row>
    <row r="521" spans="1:26" x14ac:dyDescent="0.35">
      <c r="A521" s="29">
        <v>1</v>
      </c>
      <c r="B521" s="1" t="s">
        <v>3621</v>
      </c>
      <c r="C521" s="1"/>
      <c r="D521" s="1" t="s">
        <v>1996</v>
      </c>
      <c r="E521" s="1" t="s">
        <v>1997</v>
      </c>
      <c r="F521" s="1" t="s">
        <v>21</v>
      </c>
      <c r="G521" s="5" t="s">
        <v>1998</v>
      </c>
      <c r="H521" s="1" t="s">
        <v>17</v>
      </c>
      <c r="I521" s="2">
        <v>46086</v>
      </c>
      <c r="J521" s="33">
        <f t="shared" si="101"/>
        <v>205176</v>
      </c>
      <c r="K521" s="3">
        <v>25247</v>
      </c>
      <c r="L521" s="3">
        <v>163304</v>
      </c>
      <c r="M521" s="3">
        <v>15625</v>
      </c>
      <c r="N521" s="3">
        <v>0</v>
      </c>
      <c r="O521" s="3">
        <v>1000</v>
      </c>
      <c r="P521" s="1" t="s">
        <v>1999</v>
      </c>
      <c r="Q521" s="3">
        <v>0</v>
      </c>
      <c r="R521" s="25">
        <f t="shared" si="102"/>
        <v>0</v>
      </c>
      <c r="S521" s="32">
        <f t="shared" si="105"/>
        <v>0</v>
      </c>
      <c r="T521" s="31">
        <f t="shared" si="103"/>
        <v>-205176</v>
      </c>
      <c r="U521" s="1" t="s">
        <v>3616</v>
      </c>
      <c r="V521" s="16"/>
      <c r="W521" s="30">
        <f t="shared" si="100"/>
        <v>0</v>
      </c>
      <c r="X521" s="27">
        <f t="shared" si="104"/>
        <v>0</v>
      </c>
      <c r="Y521" s="18"/>
      <c r="Z521" s="19"/>
    </row>
    <row r="522" spans="1:26" x14ac:dyDescent="0.35">
      <c r="A522" s="29">
        <v>1</v>
      </c>
      <c r="B522" s="1" t="s">
        <v>3621</v>
      </c>
      <c r="C522" s="1"/>
      <c r="D522" s="1" t="s">
        <v>1974</v>
      </c>
      <c r="E522" s="1" t="s">
        <v>1975</v>
      </c>
      <c r="F522" s="1" t="s">
        <v>21</v>
      </c>
      <c r="G522" s="5" t="s">
        <v>1976</v>
      </c>
      <c r="H522" s="1" t="s">
        <v>17</v>
      </c>
      <c r="I522" s="2">
        <v>46086</v>
      </c>
      <c r="J522" s="33">
        <f t="shared" si="101"/>
        <v>50686</v>
      </c>
      <c r="K522" s="3">
        <v>4179</v>
      </c>
      <c r="L522" s="3">
        <v>41661</v>
      </c>
      <c r="M522" s="3">
        <v>3846</v>
      </c>
      <c r="N522" s="3">
        <v>0</v>
      </c>
      <c r="O522" s="3">
        <v>1000</v>
      </c>
      <c r="P522" s="1" t="s">
        <v>1977</v>
      </c>
      <c r="Q522" s="3">
        <v>23336</v>
      </c>
      <c r="R522" s="25">
        <f t="shared" si="102"/>
        <v>0.46040326717436769</v>
      </c>
      <c r="S522" s="32">
        <f t="shared" si="105"/>
        <v>23336</v>
      </c>
      <c r="T522" s="31">
        <f t="shared" si="103"/>
        <v>-27350</v>
      </c>
      <c r="U522" s="1" t="s">
        <v>3616</v>
      </c>
      <c r="V522" s="16"/>
      <c r="W522" s="30">
        <f t="shared" si="100"/>
        <v>0</v>
      </c>
      <c r="X522" s="27">
        <f t="shared" si="104"/>
        <v>0.46040326717436769</v>
      </c>
      <c r="Y522" s="18"/>
      <c r="Z522" s="19"/>
    </row>
    <row r="523" spans="1:26" x14ac:dyDescent="0.35">
      <c r="A523" s="29">
        <v>1</v>
      </c>
      <c r="B523" s="1" t="s">
        <v>3621</v>
      </c>
      <c r="C523" s="1"/>
      <c r="D523" s="1" t="s">
        <v>1978</v>
      </c>
      <c r="E523" s="1" t="s">
        <v>1979</v>
      </c>
      <c r="F523" s="1" t="s">
        <v>21</v>
      </c>
      <c r="G523" s="5" t="s">
        <v>1980</v>
      </c>
      <c r="H523" s="1" t="s">
        <v>17</v>
      </c>
      <c r="I523" s="2">
        <v>46086</v>
      </c>
      <c r="J523" s="33">
        <f t="shared" si="101"/>
        <v>300547</v>
      </c>
      <c r="K523" s="3">
        <v>26519</v>
      </c>
      <c r="L523" s="3">
        <v>249951</v>
      </c>
      <c r="M523" s="3">
        <v>23077</v>
      </c>
      <c r="N523" s="3">
        <v>0</v>
      </c>
      <c r="O523" s="3">
        <v>1000</v>
      </c>
      <c r="P523" s="1" t="s">
        <v>1981</v>
      </c>
      <c r="Q523" s="3">
        <v>0</v>
      </c>
      <c r="R523" s="25">
        <f t="shared" si="102"/>
        <v>0</v>
      </c>
      <c r="S523" s="32">
        <f t="shared" si="105"/>
        <v>0</v>
      </c>
      <c r="T523" s="31">
        <f t="shared" si="103"/>
        <v>-300547</v>
      </c>
      <c r="U523" s="1" t="s">
        <v>3616</v>
      </c>
      <c r="V523" s="16"/>
      <c r="W523" s="30">
        <f t="shared" si="100"/>
        <v>0</v>
      </c>
      <c r="X523" s="27">
        <f t="shared" si="104"/>
        <v>0</v>
      </c>
      <c r="Y523" s="18"/>
      <c r="Z523" s="19"/>
    </row>
    <row r="524" spans="1:26" x14ac:dyDescent="0.35">
      <c r="A524" s="29">
        <v>1</v>
      </c>
      <c r="B524" s="1" t="s">
        <v>3621</v>
      </c>
      <c r="C524" s="1"/>
      <c r="D524" s="1" t="s">
        <v>2081</v>
      </c>
      <c r="E524" s="1" t="s">
        <v>2082</v>
      </c>
      <c r="F524" s="1" t="s">
        <v>21</v>
      </c>
      <c r="G524" s="5" t="s">
        <v>2083</v>
      </c>
      <c r="H524" s="1" t="s">
        <v>17</v>
      </c>
      <c r="I524" s="2">
        <v>46086</v>
      </c>
      <c r="J524" s="33">
        <f t="shared" si="101"/>
        <v>500245</v>
      </c>
      <c r="K524" s="3">
        <v>44198</v>
      </c>
      <c r="L524" s="3">
        <v>416585</v>
      </c>
      <c r="M524" s="3">
        <v>38462</v>
      </c>
      <c r="N524" s="3">
        <v>0</v>
      </c>
      <c r="O524" s="3">
        <v>1000</v>
      </c>
      <c r="P524" s="1" t="s">
        <v>2084</v>
      </c>
      <c r="Q524" s="3">
        <v>0</v>
      </c>
      <c r="R524" s="25">
        <f t="shared" si="102"/>
        <v>0</v>
      </c>
      <c r="S524" s="32">
        <f t="shared" si="105"/>
        <v>0</v>
      </c>
      <c r="T524" s="31">
        <f t="shared" si="103"/>
        <v>-500245</v>
      </c>
      <c r="U524" s="1" t="s">
        <v>3616</v>
      </c>
      <c r="V524" s="16"/>
      <c r="W524" s="30">
        <f t="shared" si="100"/>
        <v>0</v>
      </c>
      <c r="X524" s="27">
        <f t="shared" si="104"/>
        <v>0</v>
      </c>
      <c r="Y524" s="18"/>
      <c r="Z524" s="19"/>
    </row>
    <row r="525" spans="1:26" x14ac:dyDescent="0.35">
      <c r="A525" s="29">
        <v>1</v>
      </c>
      <c r="B525" s="1" t="s">
        <v>3621</v>
      </c>
      <c r="C525" s="1"/>
      <c r="D525" s="1" t="s">
        <v>2068</v>
      </c>
      <c r="E525" s="1" t="s">
        <v>2069</v>
      </c>
      <c r="F525" s="1" t="s">
        <v>21</v>
      </c>
      <c r="G525" s="5" t="s">
        <v>2070</v>
      </c>
      <c r="H525" s="1" t="s">
        <v>17</v>
      </c>
      <c r="I525" s="2">
        <v>46086</v>
      </c>
      <c r="J525" s="33">
        <f t="shared" si="101"/>
        <v>120819</v>
      </c>
      <c r="K525" s="3">
        <v>10608</v>
      </c>
      <c r="L525" s="3">
        <v>99980</v>
      </c>
      <c r="M525" s="3">
        <v>9231</v>
      </c>
      <c r="N525" s="3">
        <v>0</v>
      </c>
      <c r="O525" s="3">
        <v>1000</v>
      </c>
      <c r="P525" s="1" t="s">
        <v>2071</v>
      </c>
      <c r="Q525" s="3">
        <v>63136</v>
      </c>
      <c r="R525" s="25">
        <f t="shared" si="102"/>
        <v>0.52256681482217204</v>
      </c>
      <c r="S525" s="32">
        <f t="shared" si="105"/>
        <v>63136</v>
      </c>
      <c r="T525" s="31">
        <f t="shared" si="103"/>
        <v>-57683</v>
      </c>
      <c r="U525" s="1" t="s">
        <v>3616</v>
      </c>
      <c r="V525" s="16"/>
      <c r="W525" s="30">
        <f t="shared" si="100"/>
        <v>0</v>
      </c>
      <c r="X525" s="27">
        <f t="shared" si="104"/>
        <v>0.52256681482217204</v>
      </c>
      <c r="Y525" s="18"/>
      <c r="Z525" s="19"/>
    </row>
    <row r="526" spans="1:26" x14ac:dyDescent="0.35">
      <c r="A526" s="29">
        <v>1</v>
      </c>
      <c r="B526" s="1" t="s">
        <v>3621</v>
      </c>
      <c r="C526" s="1"/>
      <c r="D526" s="1" t="s">
        <v>1962</v>
      </c>
      <c r="E526" s="1" t="s">
        <v>1963</v>
      </c>
      <c r="F526" s="1" t="s">
        <v>21</v>
      </c>
      <c r="G526" s="5" t="s">
        <v>1964</v>
      </c>
      <c r="H526" s="1" t="s">
        <v>17</v>
      </c>
      <c r="I526" s="2">
        <v>46086</v>
      </c>
      <c r="J526" s="33">
        <f t="shared" si="101"/>
        <v>50686</v>
      </c>
      <c r="K526" s="3">
        <v>4179</v>
      </c>
      <c r="L526" s="3">
        <v>41661</v>
      </c>
      <c r="M526" s="3">
        <v>3846</v>
      </c>
      <c r="N526" s="3">
        <v>0</v>
      </c>
      <c r="O526" s="3">
        <v>1000</v>
      </c>
      <c r="P526" s="1" t="s">
        <v>1965</v>
      </c>
      <c r="Q526" s="3">
        <v>41540</v>
      </c>
      <c r="R526" s="25">
        <f t="shared" si="102"/>
        <v>0.81955569585289822</v>
      </c>
      <c r="S526" s="32">
        <f t="shared" si="105"/>
        <v>41540</v>
      </c>
      <c r="T526" s="31">
        <f t="shared" si="103"/>
        <v>-9146</v>
      </c>
      <c r="U526" s="1" t="s">
        <v>3616</v>
      </c>
      <c r="V526" s="16"/>
      <c r="W526" s="30">
        <f t="shared" si="100"/>
        <v>0</v>
      </c>
      <c r="X526" s="27">
        <f t="shared" si="104"/>
        <v>0.81955569585289822</v>
      </c>
      <c r="Y526" s="18"/>
      <c r="Z526" s="19"/>
    </row>
    <row r="527" spans="1:26" x14ac:dyDescent="0.35">
      <c r="A527" s="29">
        <v>1</v>
      </c>
      <c r="B527" s="1" t="s">
        <v>3621</v>
      </c>
      <c r="C527" s="1"/>
      <c r="D527" s="1" t="s">
        <v>2334</v>
      </c>
      <c r="E527" s="1" t="s">
        <v>1963</v>
      </c>
      <c r="F527" s="1" t="s">
        <v>21</v>
      </c>
      <c r="G527" s="5" t="s">
        <v>1964</v>
      </c>
      <c r="H527" s="1" t="s">
        <v>467</v>
      </c>
      <c r="I527" s="2">
        <v>46086</v>
      </c>
      <c r="J527" s="33">
        <f t="shared" si="101"/>
        <v>22401</v>
      </c>
      <c r="K527" s="3">
        <v>1421</v>
      </c>
      <c r="L527" s="3">
        <v>19980</v>
      </c>
      <c r="M527" s="3">
        <v>0</v>
      </c>
      <c r="N527" s="3">
        <v>0</v>
      </c>
      <c r="O527" s="3">
        <v>1000</v>
      </c>
      <c r="P527" s="1" t="s">
        <v>2335</v>
      </c>
      <c r="Q527" s="3">
        <v>41540</v>
      </c>
      <c r="R527" s="25">
        <f t="shared" si="102"/>
        <v>1.854381500825856</v>
      </c>
      <c r="S527" s="32">
        <f>J527</f>
        <v>22401</v>
      </c>
      <c r="T527" s="3">
        <f t="shared" si="103"/>
        <v>0</v>
      </c>
      <c r="U527" s="1" t="s">
        <v>3615</v>
      </c>
      <c r="V527" s="16">
        <v>1</v>
      </c>
      <c r="W527" s="28">
        <f t="shared" si="100"/>
        <v>1</v>
      </c>
      <c r="X527" s="27">
        <f t="shared" si="104"/>
        <v>1</v>
      </c>
      <c r="Y527" s="18"/>
      <c r="Z527" s="19"/>
    </row>
    <row r="528" spans="1:26" x14ac:dyDescent="0.35">
      <c r="A528" s="29">
        <v>1</v>
      </c>
      <c r="B528" s="1" t="s">
        <v>3621</v>
      </c>
      <c r="C528" s="1"/>
      <c r="D528" s="1" t="s">
        <v>2059</v>
      </c>
      <c r="E528" s="1" t="s">
        <v>2060</v>
      </c>
      <c r="F528" s="1" t="s">
        <v>21</v>
      </c>
      <c r="G528" s="5" t="s">
        <v>2061</v>
      </c>
      <c r="H528" s="1" t="s">
        <v>17</v>
      </c>
      <c r="I528" s="2">
        <v>46086</v>
      </c>
      <c r="J528" s="33">
        <f t="shared" si="101"/>
        <v>70895</v>
      </c>
      <c r="K528" s="3">
        <v>6188</v>
      </c>
      <c r="L528" s="3">
        <v>58322</v>
      </c>
      <c r="M528" s="3">
        <v>5385</v>
      </c>
      <c r="N528" s="3">
        <v>0</v>
      </c>
      <c r="O528" s="3">
        <v>1000</v>
      </c>
      <c r="P528" s="1" t="s">
        <v>2062</v>
      </c>
      <c r="Q528" s="3">
        <v>0</v>
      </c>
      <c r="R528" s="25">
        <f t="shared" si="102"/>
        <v>0</v>
      </c>
      <c r="S528" s="32">
        <f>Q528</f>
        <v>0</v>
      </c>
      <c r="T528" s="31">
        <f t="shared" si="103"/>
        <v>-70895</v>
      </c>
      <c r="U528" s="1" t="s">
        <v>3616</v>
      </c>
      <c r="V528" s="16"/>
      <c r="W528" s="30">
        <f t="shared" si="100"/>
        <v>0</v>
      </c>
      <c r="X528" s="27">
        <f t="shared" si="104"/>
        <v>0</v>
      </c>
      <c r="Y528" s="18"/>
      <c r="Z528" s="19"/>
    </row>
    <row r="529" spans="1:26" x14ac:dyDescent="0.35">
      <c r="A529" s="29">
        <v>1</v>
      </c>
      <c r="B529" s="1" t="s">
        <v>3621</v>
      </c>
      <c r="C529" s="1"/>
      <c r="D529" s="1" t="s">
        <v>1966</v>
      </c>
      <c r="E529" s="1" t="s">
        <v>1967</v>
      </c>
      <c r="F529" s="1" t="s">
        <v>21</v>
      </c>
      <c r="G529" s="5" t="s">
        <v>1968</v>
      </c>
      <c r="H529" s="1" t="s">
        <v>32</v>
      </c>
      <c r="I529" s="2">
        <v>46086</v>
      </c>
      <c r="J529" s="33">
        <f t="shared" si="101"/>
        <v>409352</v>
      </c>
      <c r="K529" s="3">
        <v>50494</v>
      </c>
      <c r="L529" s="3">
        <v>326608</v>
      </c>
      <c r="M529" s="3">
        <v>31250</v>
      </c>
      <c r="N529" s="3">
        <v>0</v>
      </c>
      <c r="O529" s="3">
        <v>1000</v>
      </c>
      <c r="P529" s="1" t="s">
        <v>1969</v>
      </c>
      <c r="Q529" s="3">
        <v>655275</v>
      </c>
      <c r="R529" s="25">
        <f t="shared" si="102"/>
        <v>1.6007616916492406</v>
      </c>
      <c r="S529" s="32">
        <f t="shared" ref="S529:S536" si="106">J529</f>
        <v>409352</v>
      </c>
      <c r="T529" s="3">
        <f t="shared" si="103"/>
        <v>0</v>
      </c>
      <c r="U529" s="1" t="s">
        <v>3615</v>
      </c>
      <c r="V529" s="16">
        <v>1</v>
      </c>
      <c r="W529" s="28">
        <f t="shared" si="100"/>
        <v>1</v>
      </c>
      <c r="X529" s="27">
        <f t="shared" si="104"/>
        <v>1</v>
      </c>
      <c r="Y529" s="18"/>
      <c r="Z529" s="19"/>
    </row>
    <row r="530" spans="1:26" x14ac:dyDescent="0.35">
      <c r="A530" s="29">
        <v>1</v>
      </c>
      <c r="B530" s="1" t="s">
        <v>3621</v>
      </c>
      <c r="C530" s="1"/>
      <c r="D530" s="1" t="s">
        <v>2161</v>
      </c>
      <c r="E530" s="1" t="s">
        <v>2162</v>
      </c>
      <c r="F530" s="1" t="s">
        <v>21</v>
      </c>
      <c r="G530" s="5" t="s">
        <v>2163</v>
      </c>
      <c r="H530" s="1" t="s">
        <v>17</v>
      </c>
      <c r="I530" s="2">
        <v>46086</v>
      </c>
      <c r="J530" s="33">
        <f t="shared" si="101"/>
        <v>40749</v>
      </c>
      <c r="K530" s="3">
        <v>5101</v>
      </c>
      <c r="L530" s="3">
        <v>31571</v>
      </c>
      <c r="M530" s="3">
        <v>3077</v>
      </c>
      <c r="N530" s="3">
        <v>0</v>
      </c>
      <c r="O530" s="3">
        <v>1000</v>
      </c>
      <c r="P530" s="1" t="s">
        <v>2164</v>
      </c>
      <c r="Q530" s="3">
        <v>52108</v>
      </c>
      <c r="R530" s="25">
        <f t="shared" si="102"/>
        <v>1.2787553068786963</v>
      </c>
      <c r="S530" s="32">
        <f t="shared" si="106"/>
        <v>40749</v>
      </c>
      <c r="T530" s="3">
        <f t="shared" si="103"/>
        <v>0</v>
      </c>
      <c r="U530" s="1" t="s">
        <v>3615</v>
      </c>
      <c r="V530" s="16">
        <v>1</v>
      </c>
      <c r="W530" s="28">
        <f t="shared" si="100"/>
        <v>1</v>
      </c>
      <c r="X530" s="27">
        <f t="shared" si="104"/>
        <v>1</v>
      </c>
      <c r="Y530" s="18"/>
      <c r="Z530" s="19"/>
    </row>
    <row r="531" spans="1:26" x14ac:dyDescent="0.35">
      <c r="A531" s="29">
        <v>1</v>
      </c>
      <c r="B531" s="1" t="s">
        <v>3621</v>
      </c>
      <c r="C531" s="1"/>
      <c r="D531" s="1" t="s">
        <v>2123</v>
      </c>
      <c r="E531" s="1" t="s">
        <v>2124</v>
      </c>
      <c r="F531" s="1" t="s">
        <v>21</v>
      </c>
      <c r="G531" s="5" t="s">
        <v>2125</v>
      </c>
      <c r="H531" s="1" t="s">
        <v>17</v>
      </c>
      <c r="I531" s="2">
        <v>46086</v>
      </c>
      <c r="J531" s="33">
        <f t="shared" si="101"/>
        <v>100849</v>
      </c>
      <c r="K531" s="3">
        <v>11190</v>
      </c>
      <c r="L531" s="3">
        <v>80967</v>
      </c>
      <c r="M531" s="3">
        <v>7692</v>
      </c>
      <c r="N531" s="3">
        <v>0</v>
      </c>
      <c r="O531" s="3">
        <v>1000</v>
      </c>
      <c r="P531" s="1" t="s">
        <v>2126</v>
      </c>
      <c r="Q531" s="3">
        <v>348751</v>
      </c>
      <c r="R531" s="25">
        <f t="shared" si="102"/>
        <v>3.4581503039197217</v>
      </c>
      <c r="S531" s="32">
        <f t="shared" si="106"/>
        <v>100849</v>
      </c>
      <c r="T531" s="3">
        <f t="shared" si="103"/>
        <v>0</v>
      </c>
      <c r="U531" s="1" t="s">
        <v>3615</v>
      </c>
      <c r="V531" s="16">
        <v>1</v>
      </c>
      <c r="W531" s="28">
        <f t="shared" si="100"/>
        <v>1</v>
      </c>
      <c r="X531" s="27">
        <f t="shared" si="104"/>
        <v>1</v>
      </c>
      <c r="Y531" s="18"/>
      <c r="Z531" s="19"/>
    </row>
    <row r="532" spans="1:26" x14ac:dyDescent="0.35">
      <c r="A532" s="29">
        <v>1</v>
      </c>
      <c r="B532" s="1" t="s">
        <v>3621</v>
      </c>
      <c r="C532" s="1"/>
      <c r="D532" s="1" t="s">
        <v>2303</v>
      </c>
      <c r="E532" s="1" t="s">
        <v>2304</v>
      </c>
      <c r="F532" s="1" t="s">
        <v>21</v>
      </c>
      <c r="G532" s="5" t="s">
        <v>2305</v>
      </c>
      <c r="H532" s="1" t="s">
        <v>17</v>
      </c>
      <c r="I532" s="2">
        <v>46086</v>
      </c>
      <c r="J532" s="33">
        <f t="shared" si="101"/>
        <v>58169</v>
      </c>
      <c r="K532" s="3">
        <v>8353</v>
      </c>
      <c r="L532" s="3">
        <v>44441</v>
      </c>
      <c r="M532" s="3">
        <v>4375</v>
      </c>
      <c r="N532" s="3">
        <v>0</v>
      </c>
      <c r="O532" s="3">
        <v>1000</v>
      </c>
      <c r="P532" s="1" t="s">
        <v>2306</v>
      </c>
      <c r="Q532" s="3">
        <v>99036</v>
      </c>
      <c r="R532" s="25">
        <f t="shared" si="102"/>
        <v>1.7025563444446354</v>
      </c>
      <c r="S532" s="32">
        <f t="shared" si="106"/>
        <v>58169</v>
      </c>
      <c r="T532" s="3">
        <f t="shared" si="103"/>
        <v>0</v>
      </c>
      <c r="U532" s="1" t="s">
        <v>3615</v>
      </c>
      <c r="V532" s="16">
        <v>1</v>
      </c>
      <c r="W532" s="28">
        <f t="shared" si="100"/>
        <v>1</v>
      </c>
      <c r="X532" s="27">
        <f t="shared" si="104"/>
        <v>1</v>
      </c>
      <c r="Y532" s="18"/>
      <c r="Z532" s="19"/>
    </row>
    <row r="533" spans="1:26" x14ac:dyDescent="0.35">
      <c r="A533" s="29">
        <v>1</v>
      </c>
      <c r="B533" s="1" t="s">
        <v>3621</v>
      </c>
      <c r="C533" s="1"/>
      <c r="D533" s="1" t="s">
        <v>2330</v>
      </c>
      <c r="E533" s="1" t="s">
        <v>2331</v>
      </c>
      <c r="F533" s="1" t="s">
        <v>21</v>
      </c>
      <c r="G533" s="5" t="s">
        <v>2332</v>
      </c>
      <c r="H533" s="1" t="s">
        <v>17</v>
      </c>
      <c r="I533" s="2">
        <v>46086</v>
      </c>
      <c r="J533" s="33">
        <f t="shared" si="101"/>
        <v>82194</v>
      </c>
      <c r="K533" s="3">
        <v>11292</v>
      </c>
      <c r="L533" s="3">
        <v>63652</v>
      </c>
      <c r="M533" s="3">
        <v>6250</v>
      </c>
      <c r="N533" s="3">
        <v>0</v>
      </c>
      <c r="O533" s="3">
        <v>1000</v>
      </c>
      <c r="P533" s="1" t="s">
        <v>2333</v>
      </c>
      <c r="Q533" s="3">
        <v>147815</v>
      </c>
      <c r="R533" s="25">
        <f t="shared" si="102"/>
        <v>1.7983672774168431</v>
      </c>
      <c r="S533" s="32">
        <f t="shared" si="106"/>
        <v>82194</v>
      </c>
      <c r="T533" s="3">
        <f t="shared" si="103"/>
        <v>0</v>
      </c>
      <c r="U533" s="1" t="s">
        <v>3615</v>
      </c>
      <c r="V533" s="16">
        <v>1</v>
      </c>
      <c r="W533" s="28">
        <f t="shared" si="100"/>
        <v>1</v>
      </c>
      <c r="X533" s="27">
        <f t="shared" si="104"/>
        <v>1</v>
      </c>
      <c r="Y533" s="18"/>
      <c r="Z533" s="19"/>
    </row>
    <row r="534" spans="1:26" x14ac:dyDescent="0.35">
      <c r="A534" s="29">
        <v>1</v>
      </c>
      <c r="B534" s="1" t="s">
        <v>3621</v>
      </c>
      <c r="C534" s="1"/>
      <c r="D534" s="1" t="s">
        <v>2299</v>
      </c>
      <c r="E534" s="1" t="s">
        <v>2300</v>
      </c>
      <c r="F534" s="1" t="s">
        <v>21</v>
      </c>
      <c r="G534" s="5" t="s">
        <v>2301</v>
      </c>
      <c r="H534" s="1" t="s">
        <v>17</v>
      </c>
      <c r="I534" s="2">
        <v>46086</v>
      </c>
      <c r="J534" s="33">
        <f t="shared" si="101"/>
        <v>50686</v>
      </c>
      <c r="K534" s="3">
        <v>5294</v>
      </c>
      <c r="L534" s="3">
        <v>40546</v>
      </c>
      <c r="M534" s="3">
        <v>3846</v>
      </c>
      <c r="N534" s="3">
        <v>0</v>
      </c>
      <c r="O534" s="3">
        <v>1000</v>
      </c>
      <c r="P534" s="1" t="s">
        <v>2302</v>
      </c>
      <c r="Q534" s="3">
        <v>78730</v>
      </c>
      <c r="R534" s="25">
        <f t="shared" si="102"/>
        <v>1.5532888766128714</v>
      </c>
      <c r="S534" s="32">
        <f t="shared" si="106"/>
        <v>50686</v>
      </c>
      <c r="T534" s="3">
        <f t="shared" si="103"/>
        <v>0</v>
      </c>
      <c r="U534" s="1" t="s">
        <v>3615</v>
      </c>
      <c r="V534" s="16">
        <v>1</v>
      </c>
      <c r="W534" s="28">
        <f t="shared" si="100"/>
        <v>1</v>
      </c>
      <c r="X534" s="27">
        <f t="shared" si="104"/>
        <v>1</v>
      </c>
      <c r="Y534" s="18"/>
      <c r="Z534" s="19"/>
    </row>
    <row r="535" spans="1:26" x14ac:dyDescent="0.35">
      <c r="A535" s="29">
        <v>1</v>
      </c>
      <c r="B535" s="1" t="s">
        <v>3621</v>
      </c>
      <c r="C535" s="1"/>
      <c r="D535" s="1" t="s">
        <v>2433</v>
      </c>
      <c r="E535" s="1" t="s">
        <v>2434</v>
      </c>
      <c r="F535" s="1" t="s">
        <v>21</v>
      </c>
      <c r="G535" s="5" t="s">
        <v>2435</v>
      </c>
      <c r="H535" s="1" t="s">
        <v>17</v>
      </c>
      <c r="I535" s="2">
        <v>46086</v>
      </c>
      <c r="J535" s="33">
        <f t="shared" si="101"/>
        <v>40648</v>
      </c>
      <c r="K535" s="3">
        <v>28110</v>
      </c>
      <c r="L535" s="3">
        <v>0</v>
      </c>
      <c r="M535" s="3">
        <v>11538</v>
      </c>
      <c r="N535" s="3">
        <v>0</v>
      </c>
      <c r="O535" s="3">
        <v>1000</v>
      </c>
      <c r="P535" s="1" t="s">
        <v>2436</v>
      </c>
      <c r="Q535" s="3">
        <v>83400</v>
      </c>
      <c r="R535" s="25">
        <f t="shared" si="102"/>
        <v>2.0517614642786852</v>
      </c>
      <c r="S535" s="32">
        <f t="shared" si="106"/>
        <v>40648</v>
      </c>
      <c r="T535" s="3">
        <f t="shared" si="103"/>
        <v>0</v>
      </c>
      <c r="U535" s="1" t="s">
        <v>3615</v>
      </c>
      <c r="V535" s="16">
        <v>1</v>
      </c>
      <c r="W535" s="28">
        <f t="shared" si="100"/>
        <v>1</v>
      </c>
      <c r="X535" s="27">
        <f t="shared" si="104"/>
        <v>1</v>
      </c>
      <c r="Y535" s="18"/>
      <c r="Z535" s="19"/>
    </row>
    <row r="536" spans="1:26" x14ac:dyDescent="0.35">
      <c r="A536" s="29">
        <v>1</v>
      </c>
      <c r="B536" s="1" t="s">
        <v>3621</v>
      </c>
      <c r="C536" s="1"/>
      <c r="D536" s="1" t="s">
        <v>1886</v>
      </c>
      <c r="E536" s="1" t="s">
        <v>1887</v>
      </c>
      <c r="F536" s="1" t="s">
        <v>21</v>
      </c>
      <c r="G536" s="5" t="s">
        <v>1888</v>
      </c>
      <c r="H536" s="1" t="s">
        <v>17</v>
      </c>
      <c r="I536" s="2">
        <v>46086</v>
      </c>
      <c r="J536" s="33">
        <f t="shared" si="101"/>
        <v>30812</v>
      </c>
      <c r="K536" s="3">
        <v>3176</v>
      </c>
      <c r="L536" s="3">
        <v>24328</v>
      </c>
      <c r="M536" s="3">
        <v>2308</v>
      </c>
      <c r="N536" s="3">
        <v>0</v>
      </c>
      <c r="O536" s="3">
        <v>1000</v>
      </c>
      <c r="P536" s="1" t="s">
        <v>1889</v>
      </c>
      <c r="Q536" s="3">
        <v>37682</v>
      </c>
      <c r="R536" s="25">
        <f t="shared" si="102"/>
        <v>1.2229650785408281</v>
      </c>
      <c r="S536" s="32">
        <f t="shared" si="106"/>
        <v>30812</v>
      </c>
      <c r="T536" s="3">
        <f t="shared" si="103"/>
        <v>0</v>
      </c>
      <c r="U536" s="1" t="s">
        <v>3615</v>
      </c>
      <c r="V536" s="16">
        <v>1</v>
      </c>
      <c r="W536" s="28">
        <f t="shared" si="100"/>
        <v>1</v>
      </c>
      <c r="X536" s="27">
        <f t="shared" si="104"/>
        <v>1</v>
      </c>
      <c r="Y536" s="18"/>
      <c r="Z536" s="19"/>
    </row>
    <row r="537" spans="1:26" x14ac:dyDescent="0.35">
      <c r="A537" s="29">
        <v>1</v>
      </c>
      <c r="B537" s="1" t="s">
        <v>3621</v>
      </c>
      <c r="C537" s="1"/>
      <c r="D537" s="1" t="s">
        <v>2316</v>
      </c>
      <c r="E537" s="1" t="s">
        <v>2317</v>
      </c>
      <c r="F537" s="1" t="s">
        <v>21</v>
      </c>
      <c r="G537" s="5" t="s">
        <v>2318</v>
      </c>
      <c r="H537" s="1" t="s">
        <v>17</v>
      </c>
      <c r="I537" s="2">
        <v>46086</v>
      </c>
      <c r="J537" s="33">
        <f t="shared" si="101"/>
        <v>30812</v>
      </c>
      <c r="K537" s="3">
        <v>3176</v>
      </c>
      <c r="L537" s="3">
        <v>24328</v>
      </c>
      <c r="M537" s="3">
        <v>2308</v>
      </c>
      <c r="N537" s="3">
        <v>0</v>
      </c>
      <c r="O537" s="3">
        <v>1000</v>
      </c>
      <c r="P537" s="1" t="s">
        <v>2319</v>
      </c>
      <c r="Q537" s="3">
        <v>3138</v>
      </c>
      <c r="R537" s="25">
        <f t="shared" si="102"/>
        <v>0.10184343762170583</v>
      </c>
      <c r="S537" s="32">
        <f>Q537</f>
        <v>3138</v>
      </c>
      <c r="T537" s="31">
        <f t="shared" si="103"/>
        <v>-27674</v>
      </c>
      <c r="U537" s="1" t="s">
        <v>3616</v>
      </c>
      <c r="V537" s="16"/>
      <c r="W537" s="30">
        <f t="shared" si="100"/>
        <v>0</v>
      </c>
      <c r="X537" s="27">
        <f t="shared" si="104"/>
        <v>0.10184343762170583</v>
      </c>
      <c r="Y537" s="18"/>
      <c r="Z537" s="19"/>
    </row>
    <row r="538" spans="1:26" x14ac:dyDescent="0.35">
      <c r="A538" s="29">
        <v>1</v>
      </c>
      <c r="B538" s="1" t="s">
        <v>3621</v>
      </c>
      <c r="C538" s="1"/>
      <c r="D538" s="1" t="s">
        <v>1899</v>
      </c>
      <c r="E538" s="1" t="s">
        <v>1900</v>
      </c>
      <c r="F538" s="1" t="s">
        <v>21</v>
      </c>
      <c r="G538" s="5" t="s">
        <v>1901</v>
      </c>
      <c r="H538" s="1" t="s">
        <v>17</v>
      </c>
      <c r="I538" s="2">
        <v>46086</v>
      </c>
      <c r="J538" s="33">
        <f t="shared" si="101"/>
        <v>40749</v>
      </c>
      <c r="K538" s="3">
        <v>4235</v>
      </c>
      <c r="L538" s="3">
        <v>32437</v>
      </c>
      <c r="M538" s="3">
        <v>3077</v>
      </c>
      <c r="N538" s="3">
        <v>0</v>
      </c>
      <c r="O538" s="3">
        <v>1000</v>
      </c>
      <c r="P538" s="1" t="s">
        <v>1902</v>
      </c>
      <c r="Q538" s="3">
        <v>60856</v>
      </c>
      <c r="R538" s="25">
        <f t="shared" si="102"/>
        <v>1.4934354217281405</v>
      </c>
      <c r="S538" s="32">
        <f>J538</f>
        <v>40749</v>
      </c>
      <c r="T538" s="3">
        <f t="shared" si="103"/>
        <v>0</v>
      </c>
      <c r="U538" s="1" t="s">
        <v>3615</v>
      </c>
      <c r="V538" s="16">
        <v>1</v>
      </c>
      <c r="W538" s="28">
        <f t="shared" si="100"/>
        <v>1</v>
      </c>
      <c r="X538" s="27">
        <f t="shared" si="104"/>
        <v>1</v>
      </c>
      <c r="Y538" s="18"/>
      <c r="Z538" s="19"/>
    </row>
    <row r="539" spans="1:26" x14ac:dyDescent="0.35">
      <c r="A539" s="29">
        <v>1</v>
      </c>
      <c r="B539" s="1" t="s">
        <v>3621</v>
      </c>
      <c r="C539" s="1"/>
      <c r="D539" s="1" t="s">
        <v>2341</v>
      </c>
      <c r="E539" s="1" t="s">
        <v>2342</v>
      </c>
      <c r="F539" s="1" t="s">
        <v>21</v>
      </c>
      <c r="G539" s="5" t="s">
        <v>2343</v>
      </c>
      <c r="H539" s="1" t="s">
        <v>17</v>
      </c>
      <c r="I539" s="2">
        <v>46086</v>
      </c>
      <c r="J539" s="33">
        <f t="shared" si="101"/>
        <v>82670</v>
      </c>
      <c r="K539" s="3">
        <v>11933</v>
      </c>
      <c r="L539" s="3">
        <v>63487</v>
      </c>
      <c r="M539" s="3">
        <v>6250</v>
      </c>
      <c r="N539" s="3">
        <v>0</v>
      </c>
      <c r="O539" s="3">
        <v>1000</v>
      </c>
      <c r="P539" s="1" t="s">
        <v>2344</v>
      </c>
      <c r="Q539" s="3">
        <v>171200</v>
      </c>
      <c r="R539" s="25">
        <f t="shared" si="102"/>
        <v>2.0708842385387687</v>
      </c>
      <c r="S539" s="32">
        <f>J539</f>
        <v>82670</v>
      </c>
      <c r="T539" s="3">
        <f t="shared" si="103"/>
        <v>0</v>
      </c>
      <c r="U539" s="1" t="s">
        <v>3615</v>
      </c>
      <c r="V539" s="16">
        <v>1</v>
      </c>
      <c r="W539" s="28">
        <f t="shared" si="100"/>
        <v>1</v>
      </c>
      <c r="X539" s="27">
        <f t="shared" si="104"/>
        <v>1</v>
      </c>
      <c r="Y539" s="18"/>
      <c r="Z539" s="19"/>
    </row>
    <row r="540" spans="1:26" x14ac:dyDescent="0.35">
      <c r="A540" s="29">
        <v>1</v>
      </c>
      <c r="B540" s="1" t="s">
        <v>3621</v>
      </c>
      <c r="C540" s="1"/>
      <c r="D540" s="1" t="s">
        <v>2109</v>
      </c>
      <c r="E540" s="1" t="s">
        <v>2110</v>
      </c>
      <c r="F540" s="1" t="s">
        <v>21</v>
      </c>
      <c r="G540" s="5" t="s">
        <v>2111</v>
      </c>
      <c r="H540" s="1" t="s">
        <v>17</v>
      </c>
      <c r="I540" s="2">
        <v>46086</v>
      </c>
      <c r="J540" s="33">
        <f t="shared" si="101"/>
        <v>30955</v>
      </c>
      <c r="K540" s="3">
        <v>3357</v>
      </c>
      <c r="L540" s="3">
        <v>24290</v>
      </c>
      <c r="M540" s="3">
        <v>2308</v>
      </c>
      <c r="N540" s="3">
        <v>0</v>
      </c>
      <c r="O540" s="3">
        <v>1000</v>
      </c>
      <c r="P540" s="1" t="s">
        <v>2112</v>
      </c>
      <c r="Q540" s="3">
        <v>13461</v>
      </c>
      <c r="R540" s="25">
        <f t="shared" si="102"/>
        <v>0.43485705055726054</v>
      </c>
      <c r="S540" s="32">
        <f>Q540</f>
        <v>13461</v>
      </c>
      <c r="T540" s="31">
        <f t="shared" si="103"/>
        <v>-17494</v>
      </c>
      <c r="U540" s="1" t="s">
        <v>3616</v>
      </c>
      <c r="V540" s="16"/>
      <c r="W540" s="30">
        <f t="shared" si="100"/>
        <v>0</v>
      </c>
      <c r="X540" s="27">
        <f t="shared" si="104"/>
        <v>0.43485705055726054</v>
      </c>
      <c r="Y540" s="18"/>
      <c r="Z540" s="19"/>
    </row>
    <row r="541" spans="1:26" x14ac:dyDescent="0.35">
      <c r="A541" s="29">
        <v>1</v>
      </c>
      <c r="B541" s="1" t="s">
        <v>3621</v>
      </c>
      <c r="C541" s="1"/>
      <c r="D541" s="1" t="s">
        <v>2185</v>
      </c>
      <c r="E541" s="1" t="s">
        <v>2186</v>
      </c>
      <c r="F541" s="1" t="s">
        <v>21</v>
      </c>
      <c r="G541" s="5" t="s">
        <v>2187</v>
      </c>
      <c r="H541" s="1" t="s">
        <v>17</v>
      </c>
      <c r="I541" s="2">
        <v>46086</v>
      </c>
      <c r="J541" s="33">
        <f t="shared" si="101"/>
        <v>100849</v>
      </c>
      <c r="K541" s="3">
        <v>14575</v>
      </c>
      <c r="L541" s="3">
        <v>77582</v>
      </c>
      <c r="M541" s="3">
        <v>7692</v>
      </c>
      <c r="N541" s="3">
        <v>0</v>
      </c>
      <c r="O541" s="3">
        <v>1000</v>
      </c>
      <c r="P541" s="1" t="s">
        <v>2188</v>
      </c>
      <c r="Q541" s="3">
        <v>188357</v>
      </c>
      <c r="R541" s="25">
        <f t="shared" si="102"/>
        <v>1.8677131156481472</v>
      </c>
      <c r="S541" s="32">
        <f>J541</f>
        <v>100849</v>
      </c>
      <c r="T541" s="3">
        <f t="shared" si="103"/>
        <v>0</v>
      </c>
      <c r="U541" s="1" t="s">
        <v>3615</v>
      </c>
      <c r="V541" s="16">
        <v>1</v>
      </c>
      <c r="W541" s="28">
        <f t="shared" si="100"/>
        <v>1</v>
      </c>
      <c r="X541" s="27">
        <f t="shared" si="104"/>
        <v>1</v>
      </c>
      <c r="Y541" s="18"/>
      <c r="Z541" s="19"/>
    </row>
    <row r="542" spans="1:26" x14ac:dyDescent="0.35">
      <c r="A542" s="29">
        <v>1</v>
      </c>
      <c r="B542" s="1" t="s">
        <v>3621</v>
      </c>
      <c r="C542" s="1"/>
      <c r="D542" s="1" t="s">
        <v>2486</v>
      </c>
      <c r="E542" s="1" t="s">
        <v>2487</v>
      </c>
      <c r="F542" s="1" t="s">
        <v>21</v>
      </c>
      <c r="G542" s="5" t="s">
        <v>2488</v>
      </c>
      <c r="H542" s="1" t="s">
        <v>17</v>
      </c>
      <c r="I542" s="2">
        <v>46086</v>
      </c>
      <c r="J542" s="33">
        <f t="shared" si="101"/>
        <v>24510</v>
      </c>
      <c r="K542" s="3">
        <v>17260</v>
      </c>
      <c r="L542" s="3">
        <v>0</v>
      </c>
      <c r="M542" s="3">
        <v>6250</v>
      </c>
      <c r="N542" s="3">
        <v>0</v>
      </c>
      <c r="O542" s="3">
        <v>1000</v>
      </c>
      <c r="P542" s="1" t="s">
        <v>2489</v>
      </c>
      <c r="Q542" s="3">
        <v>185200</v>
      </c>
      <c r="R542" s="25">
        <f t="shared" si="102"/>
        <v>7.55609955120359</v>
      </c>
      <c r="S542" s="32">
        <f>J542</f>
        <v>24510</v>
      </c>
      <c r="T542" s="3">
        <f t="shared" si="103"/>
        <v>0</v>
      </c>
      <c r="U542" s="1" t="s">
        <v>3615</v>
      </c>
      <c r="V542" s="16">
        <v>1</v>
      </c>
      <c r="W542" s="28">
        <f t="shared" si="100"/>
        <v>1</v>
      </c>
      <c r="X542" s="27">
        <f t="shared" si="104"/>
        <v>1</v>
      </c>
      <c r="Y542" s="18"/>
      <c r="Z542" s="19"/>
    </row>
    <row r="543" spans="1:26" x14ac:dyDescent="0.35">
      <c r="A543" s="29">
        <v>1</v>
      </c>
      <c r="B543" s="1" t="s">
        <v>3621</v>
      </c>
      <c r="C543" s="1"/>
      <c r="D543" s="1" t="s">
        <v>2165</v>
      </c>
      <c r="E543" s="1" t="s">
        <v>2166</v>
      </c>
      <c r="F543" s="1" t="s">
        <v>21</v>
      </c>
      <c r="G543" s="5" t="s">
        <v>2167</v>
      </c>
      <c r="H543" s="1" t="s">
        <v>17</v>
      </c>
      <c r="I543" s="2">
        <v>46086</v>
      </c>
      <c r="J543" s="33">
        <f t="shared" si="101"/>
        <v>30812</v>
      </c>
      <c r="K543" s="3">
        <v>3826</v>
      </c>
      <c r="L543" s="3">
        <v>23678</v>
      </c>
      <c r="M543" s="3">
        <v>2308</v>
      </c>
      <c r="N543" s="3">
        <v>0</v>
      </c>
      <c r="O543" s="3">
        <v>1000</v>
      </c>
      <c r="P543" s="1" t="s">
        <v>2168</v>
      </c>
      <c r="Q543" s="3">
        <v>1810</v>
      </c>
      <c r="R543" s="25">
        <f t="shared" si="102"/>
        <v>5.8743346748020252E-2</v>
      </c>
      <c r="S543" s="32">
        <f>Q543</f>
        <v>1810</v>
      </c>
      <c r="T543" s="31">
        <f t="shared" si="103"/>
        <v>-29002</v>
      </c>
      <c r="U543" s="1" t="s">
        <v>3616</v>
      </c>
      <c r="V543" s="16"/>
      <c r="W543" s="30">
        <f t="shared" si="100"/>
        <v>0</v>
      </c>
      <c r="X543" s="27">
        <f t="shared" si="104"/>
        <v>5.8743346748020252E-2</v>
      </c>
      <c r="Y543" s="18"/>
      <c r="Z543" s="19"/>
    </row>
    <row r="544" spans="1:26" x14ac:dyDescent="0.35">
      <c r="A544" s="29">
        <v>1</v>
      </c>
      <c r="B544" s="1" t="s">
        <v>3621</v>
      </c>
      <c r="C544" s="1"/>
      <c r="D544" s="1" t="s">
        <v>2010</v>
      </c>
      <c r="E544" s="1" t="s">
        <v>2011</v>
      </c>
      <c r="F544" s="1" t="s">
        <v>21</v>
      </c>
      <c r="G544" s="5" t="s">
        <v>2012</v>
      </c>
      <c r="H544" s="1" t="s">
        <v>17</v>
      </c>
      <c r="I544" s="2">
        <v>46086</v>
      </c>
      <c r="J544" s="33">
        <f t="shared" si="101"/>
        <v>50686</v>
      </c>
      <c r="K544" s="3">
        <v>6377</v>
      </c>
      <c r="L544" s="3">
        <v>39463</v>
      </c>
      <c r="M544" s="3">
        <v>3846</v>
      </c>
      <c r="N544" s="3">
        <v>0</v>
      </c>
      <c r="O544" s="3">
        <v>1000</v>
      </c>
      <c r="P544" s="1" t="s">
        <v>2013</v>
      </c>
      <c r="Q544" s="3">
        <v>64552</v>
      </c>
      <c r="R544" s="25">
        <f t="shared" si="102"/>
        <v>1.2735666653513791</v>
      </c>
      <c r="S544" s="32">
        <f t="shared" ref="S544:S554" si="107">J544</f>
        <v>50686</v>
      </c>
      <c r="T544" s="3">
        <f t="shared" si="103"/>
        <v>0</v>
      </c>
      <c r="U544" s="1" t="s">
        <v>3615</v>
      </c>
      <c r="V544" s="16">
        <v>1</v>
      </c>
      <c r="W544" s="28">
        <f t="shared" si="100"/>
        <v>1</v>
      </c>
      <c r="X544" s="27">
        <f t="shared" si="104"/>
        <v>1</v>
      </c>
      <c r="Y544" s="18"/>
      <c r="Z544" s="19"/>
    </row>
    <row r="545" spans="1:26" x14ac:dyDescent="0.35">
      <c r="A545" s="29">
        <v>1</v>
      </c>
      <c r="B545" s="1" t="s">
        <v>3621</v>
      </c>
      <c r="C545" s="1"/>
      <c r="D545" s="1" t="s">
        <v>2173</v>
      </c>
      <c r="E545" s="1" t="s">
        <v>2174</v>
      </c>
      <c r="F545" s="1" t="s">
        <v>21</v>
      </c>
      <c r="G545" s="5" t="s">
        <v>2175</v>
      </c>
      <c r="H545" s="1" t="s">
        <v>17</v>
      </c>
      <c r="I545" s="2">
        <v>46086</v>
      </c>
      <c r="J545" s="33">
        <f t="shared" si="101"/>
        <v>50924</v>
      </c>
      <c r="K545" s="3">
        <v>7288</v>
      </c>
      <c r="L545" s="3">
        <v>38790</v>
      </c>
      <c r="M545" s="3">
        <v>3846</v>
      </c>
      <c r="N545" s="3">
        <v>0</v>
      </c>
      <c r="O545" s="3">
        <v>1000</v>
      </c>
      <c r="P545" s="1" t="s">
        <v>2176</v>
      </c>
      <c r="Q545" s="3">
        <v>155579</v>
      </c>
      <c r="R545" s="25">
        <f t="shared" si="102"/>
        <v>3.0551213573167857</v>
      </c>
      <c r="S545" s="32">
        <f t="shared" si="107"/>
        <v>50924</v>
      </c>
      <c r="T545" s="3">
        <f t="shared" si="103"/>
        <v>0</v>
      </c>
      <c r="U545" s="1" t="s">
        <v>3615</v>
      </c>
      <c r="V545" s="16">
        <v>1</v>
      </c>
      <c r="W545" s="28">
        <f t="shared" si="100"/>
        <v>1</v>
      </c>
      <c r="X545" s="27">
        <f t="shared" si="104"/>
        <v>1</v>
      </c>
      <c r="Y545" s="18"/>
      <c r="Z545" s="19"/>
    </row>
    <row r="546" spans="1:26" x14ac:dyDescent="0.35">
      <c r="A546" s="29">
        <v>1</v>
      </c>
      <c r="B546" s="1" t="s">
        <v>3621</v>
      </c>
      <c r="C546" s="1"/>
      <c r="D546" s="1" t="s">
        <v>2189</v>
      </c>
      <c r="E546" s="1" t="s">
        <v>2190</v>
      </c>
      <c r="F546" s="1" t="s">
        <v>21</v>
      </c>
      <c r="G546" s="5" t="s">
        <v>2191</v>
      </c>
      <c r="H546" s="1" t="s">
        <v>467</v>
      </c>
      <c r="I546" s="2">
        <v>46086</v>
      </c>
      <c r="J546" s="33">
        <f t="shared" si="101"/>
        <v>107055</v>
      </c>
      <c r="K546" s="3">
        <v>9114</v>
      </c>
      <c r="L546" s="3">
        <v>96941</v>
      </c>
      <c r="M546" s="3">
        <v>0</v>
      </c>
      <c r="N546" s="3">
        <v>0</v>
      </c>
      <c r="O546" s="3">
        <v>1000</v>
      </c>
      <c r="P546" s="1" t="s">
        <v>2192</v>
      </c>
      <c r="Q546" s="3">
        <v>175445</v>
      </c>
      <c r="R546" s="25">
        <f t="shared" si="102"/>
        <v>1.6388305076829668</v>
      </c>
      <c r="S546" s="32">
        <f t="shared" si="107"/>
        <v>107055</v>
      </c>
      <c r="T546" s="3">
        <f t="shared" si="103"/>
        <v>0</v>
      </c>
      <c r="U546" s="1" t="s">
        <v>3615</v>
      </c>
      <c r="V546" s="16">
        <v>1</v>
      </c>
      <c r="W546" s="28">
        <f t="shared" si="100"/>
        <v>1</v>
      </c>
      <c r="X546" s="27">
        <f t="shared" si="104"/>
        <v>1</v>
      </c>
      <c r="Y546" s="18"/>
      <c r="Z546" s="19"/>
    </row>
    <row r="547" spans="1:26" x14ac:dyDescent="0.35">
      <c r="A547" s="29">
        <v>1</v>
      </c>
      <c r="B547" s="1" t="s">
        <v>3621</v>
      </c>
      <c r="C547" s="1"/>
      <c r="D547" s="1" t="s">
        <v>2177</v>
      </c>
      <c r="E547" s="1" t="s">
        <v>2178</v>
      </c>
      <c r="F547" s="1" t="s">
        <v>21</v>
      </c>
      <c r="G547" s="5" t="s">
        <v>2179</v>
      </c>
      <c r="H547" s="1" t="s">
        <v>17</v>
      </c>
      <c r="I547" s="2">
        <v>46086</v>
      </c>
      <c r="J547" s="33">
        <f t="shared" si="101"/>
        <v>164341</v>
      </c>
      <c r="K547" s="3">
        <v>29151</v>
      </c>
      <c r="L547" s="3">
        <v>121690</v>
      </c>
      <c r="M547" s="3">
        <v>12500</v>
      </c>
      <c r="N547" s="3">
        <v>0</v>
      </c>
      <c r="O547" s="3">
        <v>1000</v>
      </c>
      <c r="P547" s="1" t="s">
        <v>2180</v>
      </c>
      <c r="Q547" s="3">
        <v>185499</v>
      </c>
      <c r="R547" s="25">
        <f t="shared" si="102"/>
        <v>1.1287445007636561</v>
      </c>
      <c r="S547" s="32">
        <f t="shared" si="107"/>
        <v>164341</v>
      </c>
      <c r="T547" s="3">
        <f t="shared" si="103"/>
        <v>0</v>
      </c>
      <c r="U547" s="1" t="s">
        <v>3615</v>
      </c>
      <c r="V547" s="16">
        <v>1</v>
      </c>
      <c r="W547" s="28">
        <f t="shared" si="100"/>
        <v>1</v>
      </c>
      <c r="X547" s="27">
        <f t="shared" si="104"/>
        <v>1</v>
      </c>
      <c r="Y547" s="18"/>
      <c r="Z547" s="19"/>
    </row>
    <row r="548" spans="1:26" x14ac:dyDescent="0.35">
      <c r="A548" s="29">
        <v>1</v>
      </c>
      <c r="B548" s="1" t="s">
        <v>3621</v>
      </c>
      <c r="C548" s="1"/>
      <c r="D548" s="1" t="s">
        <v>2459</v>
      </c>
      <c r="E548" s="1" t="s">
        <v>2460</v>
      </c>
      <c r="F548" s="1" t="s">
        <v>21</v>
      </c>
      <c r="G548" s="5" t="s">
        <v>2461</v>
      </c>
      <c r="H548" s="1" t="s">
        <v>17</v>
      </c>
      <c r="I548" s="2">
        <v>46086</v>
      </c>
      <c r="J548" s="33">
        <f t="shared" ref="J548:J579" si="108">SUM(K548:O548)</f>
        <v>11448</v>
      </c>
      <c r="K548" s="3">
        <v>6559</v>
      </c>
      <c r="L548" s="3">
        <v>0</v>
      </c>
      <c r="M548" s="3">
        <v>3889</v>
      </c>
      <c r="N548" s="3">
        <v>0</v>
      </c>
      <c r="O548" s="3">
        <v>1000</v>
      </c>
      <c r="P548" s="1" t="s">
        <v>2462</v>
      </c>
      <c r="Q548" s="3">
        <v>17300</v>
      </c>
      <c r="R548" s="25">
        <f t="shared" ref="R548:R579" si="109">Q548/J548</f>
        <v>1.5111809923130677</v>
      </c>
      <c r="S548" s="32">
        <f t="shared" si="107"/>
        <v>11448</v>
      </c>
      <c r="T548" s="3">
        <f t="shared" ref="T548:T579" si="110">S548-J548</f>
        <v>0</v>
      </c>
      <c r="U548" s="1" t="s">
        <v>3615</v>
      </c>
      <c r="V548" s="16">
        <v>1</v>
      </c>
      <c r="W548" s="28">
        <f t="shared" si="100"/>
        <v>1</v>
      </c>
      <c r="X548" s="27">
        <f t="shared" ref="X548:X558" si="111">S548/J548</f>
        <v>1</v>
      </c>
      <c r="Y548" s="18"/>
      <c r="Z548" s="19"/>
    </row>
    <row r="549" spans="1:26" x14ac:dyDescent="0.35">
      <c r="A549" s="29">
        <v>1</v>
      </c>
      <c r="B549" s="1" t="s">
        <v>3621</v>
      </c>
      <c r="C549" s="1"/>
      <c r="D549" s="1" t="s">
        <v>2494</v>
      </c>
      <c r="E549" s="1" t="s">
        <v>2495</v>
      </c>
      <c r="F549" s="1" t="s">
        <v>21</v>
      </c>
      <c r="G549" s="5" t="s">
        <v>2496</v>
      </c>
      <c r="H549" s="1" t="s">
        <v>17</v>
      </c>
      <c r="I549" s="2">
        <v>46086</v>
      </c>
      <c r="J549" s="33">
        <f t="shared" si="108"/>
        <v>8486</v>
      </c>
      <c r="K549" s="3">
        <v>5178</v>
      </c>
      <c r="L549" s="3">
        <v>0</v>
      </c>
      <c r="M549" s="3">
        <v>2308</v>
      </c>
      <c r="N549" s="3">
        <v>0</v>
      </c>
      <c r="O549" s="3">
        <v>1000</v>
      </c>
      <c r="P549" s="1" t="s">
        <v>2497</v>
      </c>
      <c r="Q549" s="3">
        <v>11300</v>
      </c>
      <c r="R549" s="25">
        <f t="shared" si="109"/>
        <v>1.3316049964647656</v>
      </c>
      <c r="S549" s="32">
        <f t="shared" si="107"/>
        <v>8486</v>
      </c>
      <c r="T549" s="3">
        <f t="shared" si="110"/>
        <v>0</v>
      </c>
      <c r="U549" s="1" t="s">
        <v>3615</v>
      </c>
      <c r="V549" s="16">
        <v>1</v>
      </c>
      <c r="W549" s="28">
        <f t="shared" si="100"/>
        <v>1</v>
      </c>
      <c r="X549" s="27">
        <f t="shared" si="111"/>
        <v>1</v>
      </c>
      <c r="Y549" s="18"/>
      <c r="Z549" s="19"/>
    </row>
    <row r="550" spans="1:26" x14ac:dyDescent="0.35">
      <c r="A550" s="29">
        <v>1</v>
      </c>
      <c r="B550" s="1" t="s">
        <v>3621</v>
      </c>
      <c r="C550" s="1"/>
      <c r="D550" s="1" t="s">
        <v>2506</v>
      </c>
      <c r="E550" s="1" t="s">
        <v>2507</v>
      </c>
      <c r="F550" s="1" t="s">
        <v>21</v>
      </c>
      <c r="G550" s="5" t="s">
        <v>2508</v>
      </c>
      <c r="H550" s="1" t="s">
        <v>17</v>
      </c>
      <c r="I550" s="2">
        <v>46086</v>
      </c>
      <c r="J550" s="33">
        <f t="shared" si="108"/>
        <v>9511</v>
      </c>
      <c r="K550" s="3">
        <v>5178</v>
      </c>
      <c r="L550" s="3">
        <v>0</v>
      </c>
      <c r="M550" s="3">
        <v>3333</v>
      </c>
      <c r="N550" s="3">
        <v>0</v>
      </c>
      <c r="O550" s="3">
        <v>1000</v>
      </c>
      <c r="P550" s="1" t="s">
        <v>2509</v>
      </c>
      <c r="Q550" s="3">
        <v>29300</v>
      </c>
      <c r="R550" s="25">
        <f t="shared" si="109"/>
        <v>3.0806434654610451</v>
      </c>
      <c r="S550" s="32">
        <f t="shared" si="107"/>
        <v>9511</v>
      </c>
      <c r="T550" s="3">
        <f t="shared" si="110"/>
        <v>0</v>
      </c>
      <c r="U550" s="1" t="s">
        <v>3615</v>
      </c>
      <c r="V550" s="16">
        <v>1</v>
      </c>
      <c r="W550" s="28">
        <f t="shared" si="100"/>
        <v>1</v>
      </c>
      <c r="X550" s="27">
        <f t="shared" si="111"/>
        <v>1</v>
      </c>
      <c r="Y550" s="18"/>
      <c r="Z550" s="19"/>
    </row>
    <row r="551" spans="1:26" x14ac:dyDescent="0.35">
      <c r="A551" s="29">
        <v>1</v>
      </c>
      <c r="B551" s="1" t="s">
        <v>3621</v>
      </c>
      <c r="C551" s="1"/>
      <c r="D551" s="1" t="s">
        <v>2498</v>
      </c>
      <c r="E551" s="1" t="s">
        <v>2499</v>
      </c>
      <c r="F551" s="1" t="s">
        <v>21</v>
      </c>
      <c r="G551" s="5" t="s">
        <v>2500</v>
      </c>
      <c r="H551" s="1" t="s">
        <v>17</v>
      </c>
      <c r="I551" s="2">
        <v>46086</v>
      </c>
      <c r="J551" s="33">
        <f t="shared" si="108"/>
        <v>14940</v>
      </c>
      <c r="K551" s="3">
        <v>8384</v>
      </c>
      <c r="L551" s="3">
        <v>0</v>
      </c>
      <c r="M551" s="3">
        <v>5556</v>
      </c>
      <c r="N551" s="3">
        <v>0</v>
      </c>
      <c r="O551" s="3">
        <v>1000</v>
      </c>
      <c r="P551" s="1" t="s">
        <v>2501</v>
      </c>
      <c r="Q551" s="3">
        <v>32000</v>
      </c>
      <c r="R551" s="25">
        <f t="shared" si="109"/>
        <v>2.14190093708166</v>
      </c>
      <c r="S551" s="32">
        <f t="shared" si="107"/>
        <v>14940</v>
      </c>
      <c r="T551" s="3">
        <f t="shared" si="110"/>
        <v>0</v>
      </c>
      <c r="U551" s="1" t="s">
        <v>3615</v>
      </c>
      <c r="V551" s="16">
        <v>1</v>
      </c>
      <c r="W551" s="28">
        <f t="shared" si="100"/>
        <v>1</v>
      </c>
      <c r="X551" s="27">
        <f t="shared" si="111"/>
        <v>1</v>
      </c>
      <c r="Y551" s="18"/>
      <c r="Z551" s="19"/>
    </row>
    <row r="552" spans="1:26" x14ac:dyDescent="0.35">
      <c r="A552" s="29">
        <v>1</v>
      </c>
      <c r="B552" s="1" t="s">
        <v>3621</v>
      </c>
      <c r="C552" s="1"/>
      <c r="D552" s="1" t="s">
        <v>2181</v>
      </c>
      <c r="E552" s="1" t="s">
        <v>2182</v>
      </c>
      <c r="F552" s="1" t="s">
        <v>21</v>
      </c>
      <c r="G552" s="5" t="s">
        <v>2183</v>
      </c>
      <c r="H552" s="1" t="s">
        <v>17</v>
      </c>
      <c r="I552" s="2">
        <v>46086</v>
      </c>
      <c r="J552" s="33">
        <f t="shared" si="108"/>
        <v>105320</v>
      </c>
      <c r="K552" s="3">
        <v>21863</v>
      </c>
      <c r="L552" s="3">
        <v>74562</v>
      </c>
      <c r="M552" s="3">
        <v>7895</v>
      </c>
      <c r="N552" s="3">
        <v>0</v>
      </c>
      <c r="O552" s="3">
        <v>1000</v>
      </c>
      <c r="P552" s="1" t="s">
        <v>2184</v>
      </c>
      <c r="Q552" s="3">
        <v>156179</v>
      </c>
      <c r="R552" s="25">
        <f t="shared" si="109"/>
        <v>1.4828997341435626</v>
      </c>
      <c r="S552" s="32">
        <f t="shared" si="107"/>
        <v>105320</v>
      </c>
      <c r="T552" s="3">
        <f t="shared" si="110"/>
        <v>0</v>
      </c>
      <c r="U552" s="1" t="s">
        <v>3615</v>
      </c>
      <c r="V552" s="16">
        <v>1</v>
      </c>
      <c r="W552" s="28">
        <f t="shared" si="100"/>
        <v>1</v>
      </c>
      <c r="X552" s="27">
        <f t="shared" si="111"/>
        <v>1</v>
      </c>
      <c r="Y552" s="18"/>
      <c r="Z552" s="19"/>
    </row>
    <row r="553" spans="1:26" x14ac:dyDescent="0.35">
      <c r="A553" s="29">
        <v>1</v>
      </c>
      <c r="B553" s="1" t="s">
        <v>3621</v>
      </c>
      <c r="C553" s="1"/>
      <c r="D553" s="1" t="s">
        <v>2455</v>
      </c>
      <c r="E553" s="1" t="s">
        <v>2456</v>
      </c>
      <c r="F553" s="1" t="s">
        <v>21</v>
      </c>
      <c r="G553" s="5" t="s">
        <v>2457</v>
      </c>
      <c r="H553" s="1" t="s">
        <v>17</v>
      </c>
      <c r="I553" s="2">
        <v>46086</v>
      </c>
      <c r="J553" s="33">
        <f t="shared" si="108"/>
        <v>27432</v>
      </c>
      <c r="K553" s="3">
        <v>18740</v>
      </c>
      <c r="L553" s="3">
        <v>0</v>
      </c>
      <c r="M553" s="3">
        <v>7692</v>
      </c>
      <c r="N553" s="3">
        <v>0</v>
      </c>
      <c r="O553" s="3">
        <v>1000</v>
      </c>
      <c r="P553" s="1" t="s">
        <v>2458</v>
      </c>
      <c r="Q553" s="3">
        <v>54800</v>
      </c>
      <c r="R553" s="25">
        <f t="shared" si="109"/>
        <v>1.9976669582968796</v>
      </c>
      <c r="S553" s="32">
        <f t="shared" si="107"/>
        <v>27432</v>
      </c>
      <c r="T553" s="3">
        <f t="shared" si="110"/>
        <v>0</v>
      </c>
      <c r="U553" s="1" t="s">
        <v>3615</v>
      </c>
      <c r="V553" s="16">
        <v>1</v>
      </c>
      <c r="W553" s="28">
        <f t="shared" si="100"/>
        <v>1</v>
      </c>
      <c r="X553" s="27">
        <f t="shared" si="111"/>
        <v>1</v>
      </c>
      <c r="Y553" s="18"/>
      <c r="Z553" s="19"/>
    </row>
    <row r="554" spans="1:26" x14ac:dyDescent="0.35">
      <c r="A554" s="29">
        <v>1</v>
      </c>
      <c r="B554" s="1" t="s">
        <v>3621</v>
      </c>
      <c r="C554" s="1"/>
      <c r="D554" s="1" t="s">
        <v>2222</v>
      </c>
      <c r="E554" s="1" t="s">
        <v>2223</v>
      </c>
      <c r="F554" s="1" t="s">
        <v>21</v>
      </c>
      <c r="G554" s="5" t="s">
        <v>2224</v>
      </c>
      <c r="H554" s="1" t="s">
        <v>17</v>
      </c>
      <c r="I554" s="2">
        <v>46086</v>
      </c>
      <c r="J554" s="33">
        <f t="shared" si="108"/>
        <v>50686</v>
      </c>
      <c r="K554" s="3">
        <v>6904</v>
      </c>
      <c r="L554" s="3">
        <v>38936</v>
      </c>
      <c r="M554" s="3">
        <v>3846</v>
      </c>
      <c r="N554" s="3">
        <v>0</v>
      </c>
      <c r="O554" s="3">
        <v>1000</v>
      </c>
      <c r="P554" s="1" t="s">
        <v>2225</v>
      </c>
      <c r="Q554" s="3">
        <v>90792</v>
      </c>
      <c r="R554" s="25">
        <f t="shared" si="109"/>
        <v>1.7912638598429547</v>
      </c>
      <c r="S554" s="32">
        <f t="shared" si="107"/>
        <v>50686</v>
      </c>
      <c r="T554" s="3">
        <f t="shared" si="110"/>
        <v>0</v>
      </c>
      <c r="U554" s="1" t="s">
        <v>3615</v>
      </c>
      <c r="V554" s="16">
        <v>1</v>
      </c>
      <c r="W554" s="28">
        <f t="shared" si="100"/>
        <v>1</v>
      </c>
      <c r="X554" s="27">
        <f t="shared" si="111"/>
        <v>1</v>
      </c>
      <c r="Y554" s="18"/>
      <c r="Z554" s="19"/>
    </row>
    <row r="555" spans="1:26" x14ac:dyDescent="0.35">
      <c r="A555" s="29">
        <v>1</v>
      </c>
      <c r="B555" s="1" t="s">
        <v>3621</v>
      </c>
      <c r="C555" s="1"/>
      <c r="D555" s="1" t="s">
        <v>2482</v>
      </c>
      <c r="E555" s="1" t="s">
        <v>2483</v>
      </c>
      <c r="F555" s="1" t="s">
        <v>21</v>
      </c>
      <c r="G555" s="5" t="s">
        <v>2484</v>
      </c>
      <c r="H555" s="1" t="s">
        <v>17</v>
      </c>
      <c r="I555" s="2">
        <v>46086</v>
      </c>
      <c r="J555" s="33">
        <f t="shared" si="108"/>
        <v>5990</v>
      </c>
      <c r="K555" s="3">
        <v>3452</v>
      </c>
      <c r="L555" s="3">
        <v>0</v>
      </c>
      <c r="M555" s="3">
        <v>1538</v>
      </c>
      <c r="N555" s="3">
        <v>0</v>
      </c>
      <c r="O555" s="3">
        <v>1000</v>
      </c>
      <c r="P555" s="1" t="s">
        <v>2485</v>
      </c>
      <c r="Q555" s="3">
        <v>5100</v>
      </c>
      <c r="R555" s="25">
        <f t="shared" si="109"/>
        <v>0.85141903171953259</v>
      </c>
      <c r="S555" s="32">
        <f>Q555</f>
        <v>5100</v>
      </c>
      <c r="T555" s="31">
        <f t="shared" si="110"/>
        <v>-890</v>
      </c>
      <c r="U555" s="1" t="s">
        <v>3616</v>
      </c>
      <c r="V555" s="16"/>
      <c r="W555" s="30">
        <f t="shared" si="100"/>
        <v>0</v>
      </c>
      <c r="X555" s="27">
        <f t="shared" si="111"/>
        <v>0.85141903171953259</v>
      </c>
      <c r="Y555" s="18"/>
      <c r="Z555" s="19"/>
    </row>
    <row r="556" spans="1:26" x14ac:dyDescent="0.35">
      <c r="A556" s="29">
        <v>1</v>
      </c>
      <c r="B556" s="1" t="s">
        <v>3621</v>
      </c>
      <c r="C556" s="1"/>
      <c r="D556" s="1" t="s">
        <v>2490</v>
      </c>
      <c r="E556" s="1" t="s">
        <v>2491</v>
      </c>
      <c r="F556" s="1" t="s">
        <v>21</v>
      </c>
      <c r="G556" s="5" t="s">
        <v>2492</v>
      </c>
      <c r="H556" s="1" t="s">
        <v>17</v>
      </c>
      <c r="I556" s="2">
        <v>46086</v>
      </c>
      <c r="J556" s="33">
        <f t="shared" si="108"/>
        <v>12348</v>
      </c>
      <c r="K556" s="3">
        <v>6904</v>
      </c>
      <c r="L556" s="3">
        <v>0</v>
      </c>
      <c r="M556" s="3">
        <v>4444</v>
      </c>
      <c r="N556" s="3">
        <v>0</v>
      </c>
      <c r="O556" s="3">
        <v>1000</v>
      </c>
      <c r="P556" s="1" t="s">
        <v>2493</v>
      </c>
      <c r="Q556" s="3">
        <v>11400</v>
      </c>
      <c r="R556" s="25">
        <f t="shared" si="109"/>
        <v>0.92322643343051503</v>
      </c>
      <c r="S556" s="32">
        <f>Q556</f>
        <v>11400</v>
      </c>
      <c r="T556" s="31">
        <f t="shared" si="110"/>
        <v>-948</v>
      </c>
      <c r="U556" s="1" t="s">
        <v>3616</v>
      </c>
      <c r="V556" s="16"/>
      <c r="W556" s="30">
        <f t="shared" si="100"/>
        <v>0</v>
      </c>
      <c r="X556" s="27">
        <f t="shared" si="111"/>
        <v>0.92322643343051503</v>
      </c>
      <c r="Y556" s="18"/>
      <c r="Z556" s="19"/>
    </row>
    <row r="557" spans="1:26" x14ac:dyDescent="0.35">
      <c r="A557" s="29">
        <v>1</v>
      </c>
      <c r="B557" s="1" t="s">
        <v>3621</v>
      </c>
      <c r="C557" s="1"/>
      <c r="D557" s="1" t="s">
        <v>2419</v>
      </c>
      <c r="E557" s="1" t="s">
        <v>2420</v>
      </c>
      <c r="F557" s="1" t="s">
        <v>21</v>
      </c>
      <c r="G557" s="5" t="s">
        <v>2421</v>
      </c>
      <c r="H557" s="1" t="s">
        <v>17</v>
      </c>
      <c r="I557" s="2">
        <v>46086</v>
      </c>
      <c r="J557" s="33">
        <f t="shared" si="108"/>
        <v>27432</v>
      </c>
      <c r="K557" s="3">
        <v>18740</v>
      </c>
      <c r="L557" s="3">
        <v>0</v>
      </c>
      <c r="M557" s="3">
        <v>7692</v>
      </c>
      <c r="N557" s="3">
        <v>0</v>
      </c>
      <c r="O557" s="3">
        <v>1000</v>
      </c>
      <c r="P557" s="1" t="s">
        <v>2422</v>
      </c>
      <c r="Q557" s="3">
        <v>45400</v>
      </c>
      <c r="R557" s="25">
        <f t="shared" si="109"/>
        <v>1.6550014581510644</v>
      </c>
      <c r="S557" s="32">
        <f>J557</f>
        <v>27432</v>
      </c>
      <c r="T557" s="3">
        <f t="shared" si="110"/>
        <v>0</v>
      </c>
      <c r="U557" s="1" t="s">
        <v>3615</v>
      </c>
      <c r="V557" s="16">
        <v>1</v>
      </c>
      <c r="W557" s="28">
        <f t="shared" si="100"/>
        <v>1</v>
      </c>
      <c r="X557" s="27">
        <f t="shared" si="111"/>
        <v>1</v>
      </c>
      <c r="Y557" s="18"/>
      <c r="Z557" s="19"/>
    </row>
    <row r="558" spans="1:26" x14ac:dyDescent="0.35">
      <c r="A558" s="29">
        <v>1</v>
      </c>
      <c r="B558" s="1" t="s">
        <v>3621</v>
      </c>
      <c r="C558" s="1"/>
      <c r="D558" s="1" t="s">
        <v>2502</v>
      </c>
      <c r="E558" s="1" t="s">
        <v>2503</v>
      </c>
      <c r="F558" s="1" t="s">
        <v>21</v>
      </c>
      <c r="G558" s="5" t="s">
        <v>2504</v>
      </c>
      <c r="H558" s="1" t="s">
        <v>17</v>
      </c>
      <c r="I558" s="2">
        <v>46086</v>
      </c>
      <c r="J558" s="33">
        <f t="shared" si="108"/>
        <v>10883</v>
      </c>
      <c r="K558" s="3">
        <v>6247</v>
      </c>
      <c r="L558" s="3">
        <v>0</v>
      </c>
      <c r="M558" s="3">
        <v>3636</v>
      </c>
      <c r="N558" s="3">
        <v>0</v>
      </c>
      <c r="O558" s="3">
        <v>1000</v>
      </c>
      <c r="P558" s="1" t="s">
        <v>2505</v>
      </c>
      <c r="Q558" s="3">
        <v>107400</v>
      </c>
      <c r="R558" s="25">
        <f t="shared" si="109"/>
        <v>9.8686024074244241</v>
      </c>
      <c r="S558" s="32">
        <f>J558</f>
        <v>10883</v>
      </c>
      <c r="T558" s="3">
        <f t="shared" si="110"/>
        <v>0</v>
      </c>
      <c r="U558" s="1" t="s">
        <v>3615</v>
      </c>
      <c r="V558" s="16">
        <v>1</v>
      </c>
      <c r="W558" s="28">
        <f t="shared" si="100"/>
        <v>1</v>
      </c>
      <c r="X558" s="27">
        <f t="shared" si="111"/>
        <v>1</v>
      </c>
      <c r="Y558" s="18"/>
      <c r="Z558" s="19"/>
    </row>
    <row r="559" spans="1:26" s="40" customFormat="1" ht="15" thickBot="1" x14ac:dyDescent="0.4">
      <c r="A559" s="34">
        <f>SUM(A420:A558)</f>
        <v>139</v>
      </c>
      <c r="B559" s="73" t="s">
        <v>3631</v>
      </c>
      <c r="C559" s="73"/>
      <c r="D559" s="73"/>
      <c r="E559" s="73"/>
      <c r="F559" s="73"/>
      <c r="G559" s="73"/>
      <c r="H559" s="73"/>
      <c r="I559" s="73"/>
      <c r="J559" s="35">
        <f>SUM(J420:J558)</f>
        <v>10501270</v>
      </c>
      <c r="K559" s="36">
        <f t="shared" ref="K559:V559" si="112">SUM(K420:K558)</f>
        <v>1764388</v>
      </c>
      <c r="L559" s="36">
        <f t="shared" si="112"/>
        <v>7693855</v>
      </c>
      <c r="M559" s="36">
        <f t="shared" si="112"/>
        <v>904027</v>
      </c>
      <c r="N559" s="36">
        <f t="shared" si="112"/>
        <v>0</v>
      </c>
      <c r="O559" s="36">
        <f t="shared" si="112"/>
        <v>139000</v>
      </c>
      <c r="P559" s="36">
        <f t="shared" si="112"/>
        <v>0</v>
      </c>
      <c r="Q559" s="36">
        <f t="shared" si="112"/>
        <v>23169440</v>
      </c>
      <c r="R559" s="36"/>
      <c r="S559" s="45">
        <f t="shared" si="112"/>
        <v>8097605</v>
      </c>
      <c r="T559" s="37">
        <f t="shared" si="112"/>
        <v>-2403665</v>
      </c>
      <c r="U559" s="35">
        <f t="shared" si="112"/>
        <v>0</v>
      </c>
      <c r="V559" s="35">
        <f t="shared" si="112"/>
        <v>97</v>
      </c>
      <c r="W559" s="38">
        <f t="shared" si="100"/>
        <v>0.69784172661870503</v>
      </c>
      <c r="X559" s="39">
        <f t="shared" ref="X559" si="113">S559/J559</f>
        <v>0.77110720893758566</v>
      </c>
    </row>
    <row r="560" spans="1:26" x14ac:dyDescent="0.35">
      <c r="A560" s="29">
        <v>1</v>
      </c>
      <c r="B560" s="1" t="s">
        <v>3622</v>
      </c>
      <c r="C560" s="1"/>
      <c r="D560" s="1" t="s">
        <v>2537</v>
      </c>
      <c r="E560" s="1" t="s">
        <v>2538</v>
      </c>
      <c r="F560" s="1" t="s">
        <v>2539</v>
      </c>
      <c r="G560" s="5" t="s">
        <v>2540</v>
      </c>
      <c r="H560" s="1" t="s">
        <v>17</v>
      </c>
      <c r="I560" s="2">
        <v>46086</v>
      </c>
      <c r="J560" s="33">
        <f t="shared" ref="J560:J598" si="114">SUM(K560:O560)</f>
        <v>44242</v>
      </c>
      <c r="K560" s="3">
        <v>4340</v>
      </c>
      <c r="L560" s="3">
        <v>35569</v>
      </c>
      <c r="M560" s="3">
        <v>3333</v>
      </c>
      <c r="N560" s="3">
        <v>0</v>
      </c>
      <c r="O560" s="3">
        <v>1000</v>
      </c>
      <c r="P560" s="1" t="s">
        <v>2541</v>
      </c>
      <c r="Q560" s="3">
        <v>121093</v>
      </c>
      <c r="R560" s="25">
        <f t="shared" ref="R560:R598" si="115">Q560/J560</f>
        <v>2.7370598074228107</v>
      </c>
      <c r="S560" s="32">
        <f>J560</f>
        <v>44242</v>
      </c>
      <c r="T560" s="3">
        <f t="shared" ref="T560:T598" si="116">S560-J560</f>
        <v>0</v>
      </c>
      <c r="U560" s="1" t="s">
        <v>3615</v>
      </c>
      <c r="V560" s="16">
        <v>1</v>
      </c>
      <c r="W560" s="28">
        <f t="shared" si="100"/>
        <v>1</v>
      </c>
      <c r="X560" s="27">
        <f t="shared" ref="X560:X598" si="117">S560/J560</f>
        <v>1</v>
      </c>
      <c r="Y560" s="18"/>
      <c r="Z560" s="19"/>
    </row>
    <row r="561" spans="1:26" x14ac:dyDescent="0.35">
      <c r="A561" s="29">
        <v>1</v>
      </c>
      <c r="B561" s="1" t="s">
        <v>3622</v>
      </c>
      <c r="C561" s="1"/>
      <c r="D561" s="1" t="s">
        <v>2679</v>
      </c>
      <c r="E561" s="1" t="s">
        <v>2680</v>
      </c>
      <c r="F561" s="1" t="s">
        <v>2681</v>
      </c>
      <c r="G561" s="5" t="s">
        <v>2682</v>
      </c>
      <c r="H561" s="1" t="s">
        <v>17</v>
      </c>
      <c r="I561" s="2">
        <v>46086</v>
      </c>
      <c r="J561" s="33">
        <f t="shared" si="114"/>
        <v>59108</v>
      </c>
      <c r="K561" s="3">
        <v>10474</v>
      </c>
      <c r="L561" s="3">
        <v>43190</v>
      </c>
      <c r="M561" s="3">
        <v>4444</v>
      </c>
      <c r="N561" s="3">
        <v>0</v>
      </c>
      <c r="O561" s="3">
        <v>1000</v>
      </c>
      <c r="P561" s="1" t="s">
        <v>2683</v>
      </c>
      <c r="Q561" s="3">
        <v>63630</v>
      </c>
      <c r="R561" s="25">
        <f t="shared" si="115"/>
        <v>1.0765040265277119</v>
      </c>
      <c r="S561" s="32">
        <f>J561</f>
        <v>59108</v>
      </c>
      <c r="T561" s="3">
        <f t="shared" si="116"/>
        <v>0</v>
      </c>
      <c r="U561" s="1" t="s">
        <v>3615</v>
      </c>
      <c r="V561" s="16">
        <v>1</v>
      </c>
      <c r="W561" s="28">
        <f t="shared" si="100"/>
        <v>1</v>
      </c>
      <c r="X561" s="27">
        <f t="shared" si="117"/>
        <v>1</v>
      </c>
      <c r="Y561" s="18"/>
      <c r="Z561" s="19"/>
    </row>
    <row r="562" spans="1:26" x14ac:dyDescent="0.35">
      <c r="A562" s="29">
        <v>1</v>
      </c>
      <c r="B562" s="1" t="s">
        <v>3622</v>
      </c>
      <c r="C562" s="1"/>
      <c r="D562" s="1" t="s">
        <v>2532</v>
      </c>
      <c r="E562" s="1" t="s">
        <v>2533</v>
      </c>
      <c r="F562" s="1" t="s">
        <v>2534</v>
      </c>
      <c r="G562" s="5" t="s">
        <v>2535</v>
      </c>
      <c r="H562" s="1" t="s">
        <v>32</v>
      </c>
      <c r="I562" s="2">
        <v>46086</v>
      </c>
      <c r="J562" s="33">
        <f t="shared" si="114"/>
        <v>292759</v>
      </c>
      <c r="K562" s="3">
        <v>67286</v>
      </c>
      <c r="L562" s="3">
        <v>203640</v>
      </c>
      <c r="M562" s="3">
        <v>20833</v>
      </c>
      <c r="N562" s="3">
        <v>0</v>
      </c>
      <c r="O562" s="3">
        <v>1000</v>
      </c>
      <c r="P562" s="1" t="s">
        <v>2536</v>
      </c>
      <c r="Q562" s="3">
        <v>197043</v>
      </c>
      <c r="R562" s="25">
        <f t="shared" si="115"/>
        <v>0.67305531170689881</v>
      </c>
      <c r="S562" s="32">
        <f>Q562</f>
        <v>197043</v>
      </c>
      <c r="T562" s="31">
        <f t="shared" si="116"/>
        <v>-95716</v>
      </c>
      <c r="U562" s="1" t="s">
        <v>3616</v>
      </c>
      <c r="V562" s="16"/>
      <c r="W562" s="30">
        <f t="shared" si="100"/>
        <v>0</v>
      </c>
      <c r="X562" s="27">
        <f t="shared" si="117"/>
        <v>0.67305531170689881</v>
      </c>
      <c r="Y562" s="18"/>
      <c r="Z562" s="19"/>
    </row>
    <row r="563" spans="1:26" x14ac:dyDescent="0.35">
      <c r="A563" s="29">
        <v>1</v>
      </c>
      <c r="B563" s="1" t="s">
        <v>3622</v>
      </c>
      <c r="C563" s="1"/>
      <c r="D563" s="1" t="s">
        <v>2523</v>
      </c>
      <c r="E563" s="1" t="s">
        <v>2524</v>
      </c>
      <c r="F563" s="1" t="s">
        <v>2525</v>
      </c>
      <c r="G563" s="5" t="s">
        <v>2526</v>
      </c>
      <c r="H563" s="1" t="s">
        <v>17</v>
      </c>
      <c r="I563" s="2">
        <v>46086</v>
      </c>
      <c r="J563" s="33">
        <f t="shared" si="114"/>
        <v>131299</v>
      </c>
      <c r="K563" s="3">
        <v>16101</v>
      </c>
      <c r="L563" s="3">
        <v>104198</v>
      </c>
      <c r="M563" s="3">
        <v>10000</v>
      </c>
      <c r="N563" s="3">
        <v>0</v>
      </c>
      <c r="O563" s="3">
        <v>1000</v>
      </c>
      <c r="P563" s="1" t="s">
        <v>2527</v>
      </c>
      <c r="Q563" s="3">
        <v>30635</v>
      </c>
      <c r="R563" s="25">
        <f t="shared" si="115"/>
        <v>0.2333224167739282</v>
      </c>
      <c r="S563" s="32">
        <f>Q563</f>
        <v>30635</v>
      </c>
      <c r="T563" s="31">
        <f t="shared" si="116"/>
        <v>-100664</v>
      </c>
      <c r="U563" s="1" t="s">
        <v>3616</v>
      </c>
      <c r="V563" s="16"/>
      <c r="W563" s="30">
        <f t="shared" si="100"/>
        <v>0</v>
      </c>
      <c r="X563" s="27">
        <f t="shared" si="117"/>
        <v>0.2333224167739282</v>
      </c>
      <c r="Y563" s="18"/>
      <c r="Z563" s="19"/>
    </row>
    <row r="564" spans="1:26" x14ac:dyDescent="0.35">
      <c r="A564" s="29">
        <v>1</v>
      </c>
      <c r="B564" s="1" t="s">
        <v>3622</v>
      </c>
      <c r="C564" s="1"/>
      <c r="D564" s="1" t="s">
        <v>2542</v>
      </c>
      <c r="E564" s="1" t="s">
        <v>2543</v>
      </c>
      <c r="F564" s="1" t="s">
        <v>2544</v>
      </c>
      <c r="G564" s="5" t="s">
        <v>2545</v>
      </c>
      <c r="H564" s="1" t="s">
        <v>17</v>
      </c>
      <c r="I564" s="2">
        <v>46086</v>
      </c>
      <c r="J564" s="33">
        <f t="shared" si="114"/>
        <v>87484</v>
      </c>
      <c r="K564" s="3">
        <v>8681</v>
      </c>
      <c r="L564" s="3">
        <v>71136</v>
      </c>
      <c r="M564" s="3">
        <v>6667</v>
      </c>
      <c r="N564" s="3">
        <v>0</v>
      </c>
      <c r="O564" s="3">
        <v>1000</v>
      </c>
      <c r="P564" s="1" t="s">
        <v>2546</v>
      </c>
      <c r="Q564" s="3">
        <v>250431</v>
      </c>
      <c r="R564" s="25">
        <f t="shared" si="115"/>
        <v>2.8625920168259338</v>
      </c>
      <c r="S564" s="32">
        <f t="shared" ref="S564:S571" si="118">J564</f>
        <v>87484</v>
      </c>
      <c r="T564" s="3">
        <f t="shared" si="116"/>
        <v>0</v>
      </c>
      <c r="U564" s="1" t="s">
        <v>3615</v>
      </c>
      <c r="V564" s="16">
        <v>1</v>
      </c>
      <c r="W564" s="28">
        <f t="shared" si="100"/>
        <v>1</v>
      </c>
      <c r="X564" s="27">
        <f t="shared" si="117"/>
        <v>1</v>
      </c>
      <c r="Y564" s="18"/>
      <c r="Z564" s="19"/>
    </row>
    <row r="565" spans="1:26" x14ac:dyDescent="0.35">
      <c r="A565" s="29">
        <v>1</v>
      </c>
      <c r="B565" s="1" t="s">
        <v>3622</v>
      </c>
      <c r="C565" s="1"/>
      <c r="D565" s="1" t="s">
        <v>2669</v>
      </c>
      <c r="E565" s="1" t="s">
        <v>2670</v>
      </c>
      <c r="F565" s="1" t="s">
        <v>2671</v>
      </c>
      <c r="G565" s="5" t="s">
        <v>2672</v>
      </c>
      <c r="H565" s="1" t="s">
        <v>17</v>
      </c>
      <c r="I565" s="2">
        <v>46086</v>
      </c>
      <c r="J565" s="33">
        <f t="shared" si="114"/>
        <v>109952</v>
      </c>
      <c r="K565" s="3">
        <v>19640</v>
      </c>
      <c r="L565" s="3">
        <v>80979</v>
      </c>
      <c r="M565" s="3">
        <v>8333</v>
      </c>
      <c r="N565" s="3">
        <v>0</v>
      </c>
      <c r="O565" s="3">
        <v>1000</v>
      </c>
      <c r="P565" s="1" t="s">
        <v>2673</v>
      </c>
      <c r="Q565" s="3">
        <v>185294</v>
      </c>
      <c r="R565" s="25">
        <f t="shared" si="115"/>
        <v>1.6852262805587892</v>
      </c>
      <c r="S565" s="32">
        <f t="shared" si="118"/>
        <v>109952</v>
      </c>
      <c r="T565" s="3">
        <f t="shared" si="116"/>
        <v>0</v>
      </c>
      <c r="U565" s="1" t="s">
        <v>3615</v>
      </c>
      <c r="V565" s="16">
        <v>1</v>
      </c>
      <c r="W565" s="28">
        <f t="shared" si="100"/>
        <v>1</v>
      </c>
      <c r="X565" s="27">
        <f t="shared" si="117"/>
        <v>1</v>
      </c>
      <c r="Y565" s="18"/>
      <c r="Z565" s="19"/>
    </row>
    <row r="566" spans="1:26" x14ac:dyDescent="0.35">
      <c r="A566" s="29">
        <v>1</v>
      </c>
      <c r="B566" s="1" t="s">
        <v>3622</v>
      </c>
      <c r="C566" s="1"/>
      <c r="D566" s="1" t="s">
        <v>2547</v>
      </c>
      <c r="E566" s="1" t="s">
        <v>2548</v>
      </c>
      <c r="F566" s="1" t="s">
        <v>2549</v>
      </c>
      <c r="G566" s="5" t="s">
        <v>2550</v>
      </c>
      <c r="H566" s="1" t="s">
        <v>17</v>
      </c>
      <c r="I566" s="2">
        <v>46086</v>
      </c>
      <c r="J566" s="33">
        <f t="shared" si="114"/>
        <v>110668</v>
      </c>
      <c r="K566" s="3">
        <v>18424</v>
      </c>
      <c r="L566" s="3">
        <v>82911</v>
      </c>
      <c r="M566" s="3">
        <v>8333</v>
      </c>
      <c r="N566" s="3">
        <v>0</v>
      </c>
      <c r="O566" s="3">
        <v>1000</v>
      </c>
      <c r="P566" s="1" t="s">
        <v>2551</v>
      </c>
      <c r="Q566" s="3">
        <v>225697</v>
      </c>
      <c r="R566" s="25">
        <f t="shared" si="115"/>
        <v>2.0394061517331115</v>
      </c>
      <c r="S566" s="32">
        <f t="shared" si="118"/>
        <v>110668</v>
      </c>
      <c r="T566" s="3">
        <f t="shared" si="116"/>
        <v>0</v>
      </c>
      <c r="U566" s="1" t="s">
        <v>3615</v>
      </c>
      <c r="V566" s="16">
        <v>1</v>
      </c>
      <c r="W566" s="28">
        <f t="shared" si="100"/>
        <v>1</v>
      </c>
      <c r="X566" s="27">
        <f t="shared" si="117"/>
        <v>1</v>
      </c>
      <c r="Y566" s="18"/>
      <c r="Z566" s="19"/>
    </row>
    <row r="567" spans="1:26" x14ac:dyDescent="0.35">
      <c r="A567" s="29">
        <v>1</v>
      </c>
      <c r="B567" s="1" t="s">
        <v>3622</v>
      </c>
      <c r="C567" s="1"/>
      <c r="D567" s="1" t="s">
        <v>2552</v>
      </c>
      <c r="E567" s="1" t="s">
        <v>2553</v>
      </c>
      <c r="F567" s="1" t="s">
        <v>2554</v>
      </c>
      <c r="G567" s="5" t="s">
        <v>2555</v>
      </c>
      <c r="H567" s="1" t="s">
        <v>32</v>
      </c>
      <c r="I567" s="2">
        <v>46086</v>
      </c>
      <c r="J567" s="33">
        <f t="shared" si="114"/>
        <v>110150</v>
      </c>
      <c r="K567" s="3">
        <v>25185</v>
      </c>
      <c r="L567" s="3">
        <v>75632</v>
      </c>
      <c r="M567" s="3">
        <v>8333</v>
      </c>
      <c r="N567" s="3">
        <v>0</v>
      </c>
      <c r="O567" s="3">
        <v>1000</v>
      </c>
      <c r="P567" s="1" t="s">
        <v>2556</v>
      </c>
      <c r="Q567" s="3">
        <v>246607</v>
      </c>
      <c r="R567" s="25">
        <f t="shared" si="115"/>
        <v>2.2388288697231049</v>
      </c>
      <c r="S567" s="32">
        <f t="shared" si="118"/>
        <v>110150</v>
      </c>
      <c r="T567" s="3">
        <f t="shared" si="116"/>
        <v>0</v>
      </c>
      <c r="U567" s="1" t="s">
        <v>3615</v>
      </c>
      <c r="V567" s="16">
        <v>1</v>
      </c>
      <c r="W567" s="28">
        <f t="shared" si="100"/>
        <v>1</v>
      </c>
      <c r="X567" s="27">
        <f t="shared" si="117"/>
        <v>1</v>
      </c>
      <c r="Y567" s="18"/>
      <c r="Z567" s="19"/>
    </row>
    <row r="568" spans="1:26" x14ac:dyDescent="0.35">
      <c r="A568" s="29">
        <v>1</v>
      </c>
      <c r="B568" s="1" t="s">
        <v>3622</v>
      </c>
      <c r="C568" s="1"/>
      <c r="D568" s="1" t="s">
        <v>2609</v>
      </c>
      <c r="E568" s="1" t="s">
        <v>2610</v>
      </c>
      <c r="F568" s="1" t="s">
        <v>2611</v>
      </c>
      <c r="G568" s="5" t="s">
        <v>2612</v>
      </c>
      <c r="H568" s="1" t="s">
        <v>17</v>
      </c>
      <c r="I568" s="2">
        <v>46086</v>
      </c>
      <c r="J568" s="33">
        <f t="shared" si="114"/>
        <v>109104</v>
      </c>
      <c r="K568" s="3">
        <v>12118</v>
      </c>
      <c r="L568" s="3">
        <v>87653</v>
      </c>
      <c r="M568" s="3">
        <v>8333</v>
      </c>
      <c r="N568" s="3">
        <v>0</v>
      </c>
      <c r="O568" s="3">
        <v>1000</v>
      </c>
      <c r="P568" s="1" t="s">
        <v>2613</v>
      </c>
      <c r="Q568" s="3">
        <v>131623</v>
      </c>
      <c r="R568" s="25">
        <f t="shared" si="115"/>
        <v>1.206399398738818</v>
      </c>
      <c r="S568" s="32">
        <f t="shared" si="118"/>
        <v>109104</v>
      </c>
      <c r="T568" s="3">
        <f t="shared" si="116"/>
        <v>0</v>
      </c>
      <c r="U568" s="1" t="s">
        <v>3615</v>
      </c>
      <c r="V568" s="16">
        <v>1</v>
      </c>
      <c r="W568" s="28">
        <f t="shared" si="100"/>
        <v>1</v>
      </c>
      <c r="X568" s="27">
        <f t="shared" si="117"/>
        <v>1</v>
      </c>
      <c r="Y568" s="18"/>
      <c r="Z568" s="19"/>
    </row>
    <row r="569" spans="1:26" x14ac:dyDescent="0.35">
      <c r="A569" s="29">
        <v>1</v>
      </c>
      <c r="B569" s="1" t="s">
        <v>3622</v>
      </c>
      <c r="C569" s="1"/>
      <c r="D569" s="1" t="s">
        <v>2604</v>
      </c>
      <c r="E569" s="1" t="s">
        <v>2605</v>
      </c>
      <c r="F569" s="1" t="s">
        <v>2606</v>
      </c>
      <c r="G569" s="5" t="s">
        <v>2607</v>
      </c>
      <c r="H569" s="1" t="s">
        <v>467</v>
      </c>
      <c r="I569" s="2">
        <v>46086</v>
      </c>
      <c r="J569" s="33">
        <f t="shared" si="114"/>
        <v>107055</v>
      </c>
      <c r="K569" s="3">
        <v>6149</v>
      </c>
      <c r="L569" s="3">
        <v>99906</v>
      </c>
      <c r="M569" s="3">
        <v>0</v>
      </c>
      <c r="N569" s="3">
        <v>0</v>
      </c>
      <c r="O569" s="3">
        <v>1000</v>
      </c>
      <c r="P569" s="1" t="s">
        <v>2608</v>
      </c>
      <c r="Q569" s="3">
        <v>246621</v>
      </c>
      <c r="R569" s="25">
        <f t="shared" si="115"/>
        <v>2.3036850217178086</v>
      </c>
      <c r="S569" s="32">
        <f t="shared" si="118"/>
        <v>107055</v>
      </c>
      <c r="T569" s="3">
        <f t="shared" si="116"/>
        <v>0</v>
      </c>
      <c r="U569" s="1" t="s">
        <v>3615</v>
      </c>
      <c r="V569" s="16">
        <v>1</v>
      </c>
      <c r="W569" s="28">
        <f t="shared" si="100"/>
        <v>1</v>
      </c>
      <c r="X569" s="27">
        <f t="shared" si="117"/>
        <v>1</v>
      </c>
      <c r="Y569" s="18"/>
      <c r="Z569" s="19"/>
    </row>
    <row r="570" spans="1:26" x14ac:dyDescent="0.35">
      <c r="A570" s="29">
        <v>1</v>
      </c>
      <c r="B570" s="1" t="s">
        <v>3622</v>
      </c>
      <c r="C570" s="1"/>
      <c r="D570" s="1" t="s">
        <v>2674</v>
      </c>
      <c r="E570" s="1" t="s">
        <v>2675</v>
      </c>
      <c r="F570" s="1" t="s">
        <v>2676</v>
      </c>
      <c r="G570" s="5" t="s">
        <v>2677</v>
      </c>
      <c r="H570" s="1" t="s">
        <v>17</v>
      </c>
      <c r="I570" s="2">
        <v>46086</v>
      </c>
      <c r="J570" s="33">
        <f t="shared" si="114"/>
        <v>109952</v>
      </c>
      <c r="K570" s="3">
        <v>19640</v>
      </c>
      <c r="L570" s="3">
        <v>80979</v>
      </c>
      <c r="M570" s="3">
        <v>8333</v>
      </c>
      <c r="N570" s="3">
        <v>0</v>
      </c>
      <c r="O570" s="3">
        <v>1000</v>
      </c>
      <c r="P570" s="1" t="s">
        <v>2678</v>
      </c>
      <c r="Q570" s="3">
        <v>308663</v>
      </c>
      <c r="R570" s="25">
        <f t="shared" si="115"/>
        <v>2.8072522555296855</v>
      </c>
      <c r="S570" s="32">
        <f t="shared" si="118"/>
        <v>109952</v>
      </c>
      <c r="T570" s="3">
        <f t="shared" si="116"/>
        <v>0</v>
      </c>
      <c r="U570" s="1" t="s">
        <v>3615</v>
      </c>
      <c r="V570" s="16">
        <v>1</v>
      </c>
      <c r="W570" s="28">
        <f t="shared" si="100"/>
        <v>1</v>
      </c>
      <c r="X570" s="27">
        <f t="shared" si="117"/>
        <v>1</v>
      </c>
      <c r="Y570" s="18"/>
      <c r="Z570" s="19"/>
    </row>
    <row r="571" spans="1:26" x14ac:dyDescent="0.35">
      <c r="A571" s="29">
        <v>1</v>
      </c>
      <c r="B571" s="1" t="s">
        <v>3622</v>
      </c>
      <c r="C571" s="1"/>
      <c r="D571" s="1" t="s">
        <v>2631</v>
      </c>
      <c r="E571" s="1" t="s">
        <v>2632</v>
      </c>
      <c r="F571" s="1" t="s">
        <v>2633</v>
      </c>
      <c r="G571" s="5" t="s">
        <v>2634</v>
      </c>
      <c r="H571" s="1" t="s">
        <v>17</v>
      </c>
      <c r="I571" s="2">
        <v>46086</v>
      </c>
      <c r="J571" s="33">
        <f t="shared" si="114"/>
        <v>146270</v>
      </c>
      <c r="K571" s="3">
        <v>26186</v>
      </c>
      <c r="L571" s="3">
        <v>107973</v>
      </c>
      <c r="M571" s="3">
        <v>11111</v>
      </c>
      <c r="N571" s="3">
        <v>0</v>
      </c>
      <c r="O571" s="3">
        <v>1000</v>
      </c>
      <c r="P571" s="1" t="s">
        <v>2635</v>
      </c>
      <c r="Q571" s="3">
        <v>385120</v>
      </c>
      <c r="R571" s="25">
        <f t="shared" si="115"/>
        <v>2.6329390852532986</v>
      </c>
      <c r="S571" s="32">
        <f t="shared" si="118"/>
        <v>146270</v>
      </c>
      <c r="T571" s="3">
        <f t="shared" si="116"/>
        <v>0</v>
      </c>
      <c r="U571" s="1" t="s">
        <v>3615</v>
      </c>
      <c r="V571" s="16">
        <v>1</v>
      </c>
      <c r="W571" s="28">
        <f t="shared" si="100"/>
        <v>1</v>
      </c>
      <c r="X571" s="27">
        <f t="shared" si="117"/>
        <v>1</v>
      </c>
      <c r="Y571" s="18"/>
      <c r="Z571" s="19"/>
    </row>
    <row r="572" spans="1:26" x14ac:dyDescent="0.35">
      <c r="A572" s="29">
        <v>1</v>
      </c>
      <c r="B572" s="1" t="s">
        <v>3622</v>
      </c>
      <c r="C572" s="1"/>
      <c r="D572" s="1" t="s">
        <v>2591</v>
      </c>
      <c r="E572" s="1" t="s">
        <v>2592</v>
      </c>
      <c r="F572" s="1" t="s">
        <v>2593</v>
      </c>
      <c r="G572" s="5" t="s">
        <v>2594</v>
      </c>
      <c r="H572" s="1" t="s">
        <v>17</v>
      </c>
      <c r="I572" s="2">
        <v>46086</v>
      </c>
      <c r="J572" s="33">
        <f t="shared" si="114"/>
        <v>163157</v>
      </c>
      <c r="K572" s="3">
        <v>16277</v>
      </c>
      <c r="L572" s="3">
        <v>133380</v>
      </c>
      <c r="M572" s="3">
        <v>12500</v>
      </c>
      <c r="N572" s="3">
        <v>0</v>
      </c>
      <c r="O572" s="3">
        <v>1000</v>
      </c>
      <c r="P572" s="1" t="s">
        <v>2595</v>
      </c>
      <c r="Q572" s="3">
        <v>63746</v>
      </c>
      <c r="R572" s="25">
        <f t="shared" si="115"/>
        <v>0.39070343288979326</v>
      </c>
      <c r="S572" s="32">
        <f>Q572</f>
        <v>63746</v>
      </c>
      <c r="T572" s="31">
        <f t="shared" si="116"/>
        <v>-99411</v>
      </c>
      <c r="U572" s="1" t="s">
        <v>3616</v>
      </c>
      <c r="V572" s="16"/>
      <c r="W572" s="30">
        <f t="shared" si="100"/>
        <v>0</v>
      </c>
      <c r="X572" s="27">
        <f t="shared" si="117"/>
        <v>0.39070343288979326</v>
      </c>
      <c r="Y572" s="18"/>
      <c r="Z572" s="19"/>
    </row>
    <row r="573" spans="1:26" x14ac:dyDescent="0.35">
      <c r="A573" s="29">
        <v>1</v>
      </c>
      <c r="B573" s="1" t="s">
        <v>3622</v>
      </c>
      <c r="C573" s="1"/>
      <c r="D573" s="1" t="s">
        <v>2581</v>
      </c>
      <c r="E573" s="1" t="s">
        <v>2582</v>
      </c>
      <c r="F573" s="1" t="s">
        <v>2583</v>
      </c>
      <c r="G573" s="5" t="s">
        <v>2584</v>
      </c>
      <c r="H573" s="1" t="s">
        <v>17</v>
      </c>
      <c r="I573" s="2">
        <v>46086</v>
      </c>
      <c r="J573" s="33">
        <f t="shared" si="114"/>
        <v>28026</v>
      </c>
      <c r="K573" s="3">
        <v>2713</v>
      </c>
      <c r="L573" s="3">
        <v>22230</v>
      </c>
      <c r="M573" s="3">
        <v>2083</v>
      </c>
      <c r="N573" s="3">
        <v>0</v>
      </c>
      <c r="O573" s="3">
        <v>1000</v>
      </c>
      <c r="P573" s="1" t="s">
        <v>2585</v>
      </c>
      <c r="Q573" s="3">
        <v>16639</v>
      </c>
      <c r="R573" s="25">
        <f t="shared" si="115"/>
        <v>0.59369870834225358</v>
      </c>
      <c r="S573" s="32">
        <f>Q573</f>
        <v>16639</v>
      </c>
      <c r="T573" s="31">
        <f t="shared" si="116"/>
        <v>-11387</v>
      </c>
      <c r="U573" s="1" t="s">
        <v>3616</v>
      </c>
      <c r="V573" s="16"/>
      <c r="W573" s="30">
        <f t="shared" si="100"/>
        <v>0</v>
      </c>
      <c r="X573" s="27">
        <f t="shared" si="117"/>
        <v>0.59369870834225358</v>
      </c>
      <c r="Y573" s="18"/>
      <c r="Z573" s="19"/>
    </row>
    <row r="574" spans="1:26" x14ac:dyDescent="0.35">
      <c r="A574" s="29">
        <v>1</v>
      </c>
      <c r="B574" s="1" t="s">
        <v>3622</v>
      </c>
      <c r="C574" s="1"/>
      <c r="D574" s="1" t="s">
        <v>2586</v>
      </c>
      <c r="E574" s="1" t="s">
        <v>2587</v>
      </c>
      <c r="F574" s="1" t="s">
        <v>2588</v>
      </c>
      <c r="G574" s="5" t="s">
        <v>2589</v>
      </c>
      <c r="H574" s="1" t="s">
        <v>17</v>
      </c>
      <c r="I574" s="2">
        <v>46086</v>
      </c>
      <c r="J574" s="33">
        <f t="shared" si="114"/>
        <v>55053</v>
      </c>
      <c r="K574" s="3">
        <v>5426</v>
      </c>
      <c r="L574" s="3">
        <v>44460</v>
      </c>
      <c r="M574" s="3">
        <v>4167</v>
      </c>
      <c r="N574" s="3">
        <v>0</v>
      </c>
      <c r="O574" s="3">
        <v>1000</v>
      </c>
      <c r="P574" s="1" t="s">
        <v>2590</v>
      </c>
      <c r="Q574" s="3">
        <v>115977</v>
      </c>
      <c r="R574" s="25">
        <f t="shared" si="115"/>
        <v>2.1066426897716743</v>
      </c>
      <c r="S574" s="32">
        <f>J574</f>
        <v>55053</v>
      </c>
      <c r="T574" s="3">
        <f t="shared" si="116"/>
        <v>0</v>
      </c>
      <c r="U574" s="1" t="s">
        <v>3615</v>
      </c>
      <c r="V574" s="16">
        <v>1</v>
      </c>
      <c r="W574" s="28">
        <f t="shared" si="100"/>
        <v>1</v>
      </c>
      <c r="X574" s="27">
        <f t="shared" si="117"/>
        <v>1</v>
      </c>
      <c r="Y574" s="18"/>
      <c r="Z574" s="19"/>
    </row>
    <row r="575" spans="1:26" x14ac:dyDescent="0.35">
      <c r="A575" s="29">
        <v>1</v>
      </c>
      <c r="B575" s="1" t="s">
        <v>3622</v>
      </c>
      <c r="C575" s="1"/>
      <c r="D575" s="1" t="s">
        <v>2660</v>
      </c>
      <c r="E575" s="1" t="s">
        <v>2661</v>
      </c>
      <c r="F575" s="1" t="s">
        <v>2662</v>
      </c>
      <c r="G575" s="5" t="s">
        <v>2663</v>
      </c>
      <c r="H575" s="1" t="s">
        <v>17</v>
      </c>
      <c r="I575" s="2">
        <v>46086</v>
      </c>
      <c r="J575" s="33">
        <f t="shared" si="114"/>
        <v>109104</v>
      </c>
      <c r="K575" s="3">
        <v>13356</v>
      </c>
      <c r="L575" s="3">
        <v>86415</v>
      </c>
      <c r="M575" s="3">
        <v>8333</v>
      </c>
      <c r="N575" s="3">
        <v>0</v>
      </c>
      <c r="O575" s="3">
        <v>1000</v>
      </c>
      <c r="P575" s="1" t="s">
        <v>2664</v>
      </c>
      <c r="Q575" s="3">
        <v>73704</v>
      </c>
      <c r="R575" s="25">
        <f t="shared" si="115"/>
        <v>0.67553893532776066</v>
      </c>
      <c r="S575" s="32">
        <f>Q575</f>
        <v>73704</v>
      </c>
      <c r="T575" s="31">
        <f t="shared" si="116"/>
        <v>-35400</v>
      </c>
      <c r="U575" s="1" t="s">
        <v>3616</v>
      </c>
      <c r="V575" s="16"/>
      <c r="W575" s="30">
        <f t="shared" si="100"/>
        <v>0</v>
      </c>
      <c r="X575" s="27">
        <f t="shared" si="117"/>
        <v>0.67553893532776066</v>
      </c>
      <c r="Y575" s="18"/>
      <c r="Z575" s="19"/>
    </row>
    <row r="576" spans="1:26" x14ac:dyDescent="0.35">
      <c r="A576" s="29">
        <v>1</v>
      </c>
      <c r="B576" s="1" t="s">
        <v>3622</v>
      </c>
      <c r="C576" s="1"/>
      <c r="D576" s="1" t="s">
        <v>2519</v>
      </c>
      <c r="E576" s="1" t="s">
        <v>2520</v>
      </c>
      <c r="F576" s="1" t="s">
        <v>21</v>
      </c>
      <c r="G576" s="5" t="s">
        <v>2521</v>
      </c>
      <c r="H576" s="1" t="s">
        <v>17</v>
      </c>
      <c r="I576" s="2">
        <v>46086</v>
      </c>
      <c r="J576" s="33">
        <f t="shared" si="114"/>
        <v>541524</v>
      </c>
      <c r="K576" s="3">
        <v>41333</v>
      </c>
      <c r="L576" s="3">
        <v>457524</v>
      </c>
      <c r="M576" s="3">
        <v>41667</v>
      </c>
      <c r="N576" s="3">
        <v>0</v>
      </c>
      <c r="O576" s="3">
        <v>1000</v>
      </c>
      <c r="P576" s="1" t="s">
        <v>2522</v>
      </c>
      <c r="Q576" s="3">
        <v>678619</v>
      </c>
      <c r="R576" s="25">
        <f t="shared" si="115"/>
        <v>1.2531651413418428</v>
      </c>
      <c r="S576" s="32">
        <f>J576</f>
        <v>541524</v>
      </c>
      <c r="T576" s="3">
        <f t="shared" si="116"/>
        <v>0</v>
      </c>
      <c r="U576" s="1" t="s">
        <v>3615</v>
      </c>
      <c r="V576" s="16">
        <v>1</v>
      </c>
      <c r="W576" s="28">
        <f t="shared" si="100"/>
        <v>1</v>
      </c>
      <c r="X576" s="27">
        <f t="shared" si="117"/>
        <v>1</v>
      </c>
      <c r="Y576" s="18"/>
      <c r="Z576" s="19"/>
    </row>
    <row r="577" spans="1:26" x14ac:dyDescent="0.35">
      <c r="A577" s="29">
        <v>1</v>
      </c>
      <c r="B577" s="1" t="s">
        <v>3622</v>
      </c>
      <c r="C577" s="1"/>
      <c r="D577" s="1" t="s">
        <v>2528</v>
      </c>
      <c r="E577" s="1" t="s">
        <v>2529</v>
      </c>
      <c r="F577" s="1" t="s">
        <v>21</v>
      </c>
      <c r="G577" s="5" t="s">
        <v>2530</v>
      </c>
      <c r="H577" s="1" t="s">
        <v>17</v>
      </c>
      <c r="I577" s="2">
        <v>46086</v>
      </c>
      <c r="J577" s="33">
        <f t="shared" si="114"/>
        <v>65863</v>
      </c>
      <c r="K577" s="3">
        <v>6511</v>
      </c>
      <c r="L577" s="3">
        <v>53352</v>
      </c>
      <c r="M577" s="3">
        <v>5000</v>
      </c>
      <c r="N577" s="3">
        <v>0</v>
      </c>
      <c r="O577" s="3">
        <v>1000</v>
      </c>
      <c r="P577" s="1" t="s">
        <v>2531</v>
      </c>
      <c r="Q577" s="3">
        <v>200870</v>
      </c>
      <c r="R577" s="25">
        <f t="shared" si="115"/>
        <v>3.0498155261679547</v>
      </c>
      <c r="S577" s="32">
        <f>J577</f>
        <v>65863</v>
      </c>
      <c r="T577" s="3">
        <f t="shared" si="116"/>
        <v>0</v>
      </c>
      <c r="U577" s="1" t="s">
        <v>3615</v>
      </c>
      <c r="V577" s="16">
        <v>1</v>
      </c>
      <c r="W577" s="28">
        <f t="shared" si="100"/>
        <v>1</v>
      </c>
      <c r="X577" s="27">
        <f t="shared" si="117"/>
        <v>1</v>
      </c>
      <c r="Y577" s="18"/>
      <c r="Z577" s="19"/>
    </row>
    <row r="578" spans="1:26" x14ac:dyDescent="0.35">
      <c r="A578" s="29">
        <v>1</v>
      </c>
      <c r="B578" s="1" t="s">
        <v>3622</v>
      </c>
      <c r="C578" s="1"/>
      <c r="D578" s="1" t="s">
        <v>2596</v>
      </c>
      <c r="E578" s="1" t="s">
        <v>2597</v>
      </c>
      <c r="F578" s="1" t="s">
        <v>21</v>
      </c>
      <c r="G578" s="5" t="s">
        <v>2598</v>
      </c>
      <c r="H578" s="1" t="s">
        <v>32</v>
      </c>
      <c r="I578" s="2">
        <v>46086</v>
      </c>
      <c r="J578" s="33">
        <f t="shared" si="114"/>
        <v>271262</v>
      </c>
      <c r="K578" s="3">
        <v>27128</v>
      </c>
      <c r="L578" s="3">
        <v>222301</v>
      </c>
      <c r="M578" s="3">
        <v>20833</v>
      </c>
      <c r="N578" s="3">
        <v>0</v>
      </c>
      <c r="O578" s="3">
        <v>1000</v>
      </c>
      <c r="P578" s="1" t="s">
        <v>2599</v>
      </c>
      <c r="Q578" s="3">
        <v>202109</v>
      </c>
      <c r="R578" s="25">
        <f t="shared" si="115"/>
        <v>0.7450693425544308</v>
      </c>
      <c r="S578" s="32">
        <f>Q578</f>
        <v>202109</v>
      </c>
      <c r="T578" s="31">
        <f t="shared" si="116"/>
        <v>-69153</v>
      </c>
      <c r="U578" s="1" t="s">
        <v>3616</v>
      </c>
      <c r="V578" s="16"/>
      <c r="W578" s="30">
        <f t="shared" si="100"/>
        <v>0</v>
      </c>
      <c r="X578" s="27">
        <f t="shared" si="117"/>
        <v>0.7450693425544308</v>
      </c>
      <c r="Y578" s="18"/>
      <c r="Z578" s="19"/>
    </row>
    <row r="579" spans="1:26" x14ac:dyDescent="0.35">
      <c r="A579" s="29">
        <v>1</v>
      </c>
      <c r="B579" s="1" t="s">
        <v>3622</v>
      </c>
      <c r="C579" s="1"/>
      <c r="D579" s="1" t="s">
        <v>2600</v>
      </c>
      <c r="E579" s="1" t="s">
        <v>2601</v>
      </c>
      <c r="F579" s="1" t="s">
        <v>21</v>
      </c>
      <c r="G579" s="5" t="s">
        <v>2602</v>
      </c>
      <c r="H579" s="1" t="s">
        <v>32</v>
      </c>
      <c r="I579" s="2">
        <v>46086</v>
      </c>
      <c r="J579" s="33">
        <f t="shared" si="114"/>
        <v>113761</v>
      </c>
      <c r="K579" s="3">
        <v>25929</v>
      </c>
      <c r="L579" s="3">
        <v>78499</v>
      </c>
      <c r="M579" s="3">
        <v>8333</v>
      </c>
      <c r="N579" s="3">
        <v>0</v>
      </c>
      <c r="O579" s="3">
        <v>1000</v>
      </c>
      <c r="P579" s="1" t="s">
        <v>2603</v>
      </c>
      <c r="Q579" s="3">
        <v>297313</v>
      </c>
      <c r="R579" s="25">
        <f t="shared" si="115"/>
        <v>2.6134879264422781</v>
      </c>
      <c r="S579" s="32">
        <f>J579</f>
        <v>113761</v>
      </c>
      <c r="T579" s="3">
        <f t="shared" si="116"/>
        <v>0</v>
      </c>
      <c r="U579" s="1" t="s">
        <v>3615</v>
      </c>
      <c r="V579" s="16">
        <v>1</v>
      </c>
      <c r="W579" s="28">
        <f t="shared" ref="W579:W642" si="119">V579/A579</f>
        <v>1</v>
      </c>
      <c r="X579" s="27">
        <f t="shared" si="117"/>
        <v>1</v>
      </c>
      <c r="Y579" s="18"/>
      <c r="Z579" s="19"/>
    </row>
    <row r="580" spans="1:26" x14ac:dyDescent="0.35">
      <c r="A580" s="29">
        <v>1</v>
      </c>
      <c r="B580" s="1" t="s">
        <v>3622</v>
      </c>
      <c r="C580" s="1"/>
      <c r="D580" s="1" t="s">
        <v>2618</v>
      </c>
      <c r="E580" s="1" t="s">
        <v>2619</v>
      </c>
      <c r="F580" s="1" t="s">
        <v>21</v>
      </c>
      <c r="G580" s="5" t="s">
        <v>2620</v>
      </c>
      <c r="H580" s="1" t="s">
        <v>32</v>
      </c>
      <c r="I580" s="2">
        <v>46086</v>
      </c>
      <c r="J580" s="33">
        <f t="shared" si="114"/>
        <v>280487</v>
      </c>
      <c r="K580" s="3">
        <v>50464</v>
      </c>
      <c r="L580" s="3">
        <v>208190</v>
      </c>
      <c r="M580" s="3">
        <v>20833</v>
      </c>
      <c r="N580" s="3">
        <v>0</v>
      </c>
      <c r="O580" s="3">
        <v>1000</v>
      </c>
      <c r="P580" s="1" t="s">
        <v>2621</v>
      </c>
      <c r="Q580" s="3">
        <v>242429</v>
      </c>
      <c r="R580" s="25">
        <f t="shared" si="115"/>
        <v>0.8643145671635406</v>
      </c>
      <c r="S580" s="32">
        <f>Q580</f>
        <v>242429</v>
      </c>
      <c r="T580" s="31">
        <f t="shared" si="116"/>
        <v>-38058</v>
      </c>
      <c r="U580" s="1" t="s">
        <v>3616</v>
      </c>
      <c r="V580" s="16"/>
      <c r="W580" s="30">
        <f t="shared" si="119"/>
        <v>0</v>
      </c>
      <c r="X580" s="27">
        <f t="shared" si="117"/>
        <v>0.8643145671635406</v>
      </c>
      <c r="Y580" s="18"/>
      <c r="Z580" s="19"/>
    </row>
    <row r="581" spans="1:26" x14ac:dyDescent="0.35">
      <c r="A581" s="29">
        <v>1</v>
      </c>
      <c r="B581" s="1" t="s">
        <v>3622</v>
      </c>
      <c r="C581" s="1"/>
      <c r="D581" s="1" t="s">
        <v>2656</v>
      </c>
      <c r="E581" s="1" t="s">
        <v>2657</v>
      </c>
      <c r="F581" s="1" t="s">
        <v>21</v>
      </c>
      <c r="G581" s="5" t="s">
        <v>2658</v>
      </c>
      <c r="H581" s="1" t="s">
        <v>2625</v>
      </c>
      <c r="I581" s="2">
        <v>46086</v>
      </c>
      <c r="J581" s="33">
        <f t="shared" si="114"/>
        <v>16568</v>
      </c>
      <c r="K581" s="3">
        <v>1198</v>
      </c>
      <c r="L581" s="3">
        <v>14370</v>
      </c>
      <c r="M581" s="3">
        <v>0</v>
      </c>
      <c r="N581" s="3">
        <v>0</v>
      </c>
      <c r="O581" s="3">
        <v>1000</v>
      </c>
      <c r="P581" s="1" t="s">
        <v>2659</v>
      </c>
      <c r="Q581" s="3">
        <v>106257</v>
      </c>
      <c r="R581" s="25">
        <f t="shared" si="115"/>
        <v>6.4133872525350073</v>
      </c>
      <c r="S581" s="32">
        <f>J581</f>
        <v>16568</v>
      </c>
      <c r="T581" s="3">
        <f t="shared" si="116"/>
        <v>0</v>
      </c>
      <c r="U581" s="1" t="s">
        <v>3615</v>
      </c>
      <c r="V581" s="16">
        <v>1</v>
      </c>
      <c r="W581" s="28">
        <f t="shared" si="119"/>
        <v>1</v>
      </c>
      <c r="X581" s="27">
        <f t="shared" si="117"/>
        <v>1</v>
      </c>
      <c r="Y581" s="18"/>
      <c r="Z581" s="19"/>
    </row>
    <row r="582" spans="1:26" x14ac:dyDescent="0.35">
      <c r="A582" s="29">
        <v>1</v>
      </c>
      <c r="B582" s="1" t="s">
        <v>3622</v>
      </c>
      <c r="C582" s="1"/>
      <c r="D582" s="1" t="s">
        <v>2652</v>
      </c>
      <c r="E582" s="1" t="s">
        <v>2653</v>
      </c>
      <c r="F582" s="1" t="s">
        <v>21</v>
      </c>
      <c r="G582" s="5" t="s">
        <v>2654</v>
      </c>
      <c r="H582" s="1" t="s">
        <v>2625</v>
      </c>
      <c r="I582" s="2">
        <v>46086</v>
      </c>
      <c r="J582" s="33">
        <f t="shared" si="114"/>
        <v>15462</v>
      </c>
      <c r="K582" s="3">
        <v>1112</v>
      </c>
      <c r="L582" s="3">
        <v>13350</v>
      </c>
      <c r="M582" s="3">
        <v>0</v>
      </c>
      <c r="N582" s="3">
        <v>0</v>
      </c>
      <c r="O582" s="3">
        <v>1000</v>
      </c>
      <c r="P582" s="1" t="s">
        <v>2655</v>
      </c>
      <c r="Q582" s="3">
        <v>8547</v>
      </c>
      <c r="R582" s="25">
        <f t="shared" si="115"/>
        <v>0.55277454404346138</v>
      </c>
      <c r="S582" s="32">
        <f>Q582</f>
        <v>8547</v>
      </c>
      <c r="T582" s="31">
        <f t="shared" si="116"/>
        <v>-6915</v>
      </c>
      <c r="U582" s="1" t="s">
        <v>3616</v>
      </c>
      <c r="V582" s="16"/>
      <c r="W582" s="30">
        <f t="shared" si="119"/>
        <v>0</v>
      </c>
      <c r="X582" s="27">
        <f t="shared" si="117"/>
        <v>0.55277454404346138</v>
      </c>
      <c r="Y582" s="18"/>
      <c r="Z582" s="19"/>
    </row>
    <row r="583" spans="1:26" x14ac:dyDescent="0.35">
      <c r="A583" s="29">
        <v>1</v>
      </c>
      <c r="B583" s="1" t="s">
        <v>3622</v>
      </c>
      <c r="C583" s="1"/>
      <c r="D583" s="1" t="s">
        <v>2644</v>
      </c>
      <c r="E583" s="1" t="s">
        <v>2645</v>
      </c>
      <c r="F583" s="1" t="s">
        <v>21</v>
      </c>
      <c r="G583" s="5" t="s">
        <v>2646</v>
      </c>
      <c r="H583" s="1" t="s">
        <v>878</v>
      </c>
      <c r="I583" s="2">
        <v>46086</v>
      </c>
      <c r="J583" s="33">
        <f t="shared" si="114"/>
        <v>15478</v>
      </c>
      <c r="K583" s="3">
        <v>1261</v>
      </c>
      <c r="L583" s="3">
        <v>13217</v>
      </c>
      <c r="M583" s="3">
        <v>0</v>
      </c>
      <c r="N583" s="3">
        <v>0</v>
      </c>
      <c r="O583" s="3">
        <v>1000</v>
      </c>
      <c r="P583" s="1" t="s">
        <v>2647</v>
      </c>
      <c r="Q583" s="3">
        <v>6910</v>
      </c>
      <c r="R583" s="25">
        <f t="shared" si="115"/>
        <v>0.44644010854115518</v>
      </c>
      <c r="S583" s="32">
        <f>Q583</f>
        <v>6910</v>
      </c>
      <c r="T583" s="31">
        <f t="shared" si="116"/>
        <v>-8568</v>
      </c>
      <c r="U583" s="1" t="s">
        <v>3616</v>
      </c>
      <c r="V583" s="16"/>
      <c r="W583" s="30">
        <f t="shared" si="119"/>
        <v>0</v>
      </c>
      <c r="X583" s="27">
        <f t="shared" si="117"/>
        <v>0.44644010854115518</v>
      </c>
      <c r="Y583" s="18"/>
      <c r="Z583" s="19"/>
    </row>
    <row r="584" spans="1:26" x14ac:dyDescent="0.35">
      <c r="A584" s="29">
        <v>1</v>
      </c>
      <c r="B584" s="1" t="s">
        <v>3622</v>
      </c>
      <c r="C584" s="1"/>
      <c r="D584" s="1" t="s">
        <v>2622</v>
      </c>
      <c r="E584" s="1" t="s">
        <v>2623</v>
      </c>
      <c r="F584" s="1" t="s">
        <v>21</v>
      </c>
      <c r="G584" s="5" t="s">
        <v>2624</v>
      </c>
      <c r="H584" s="1" t="s">
        <v>2625</v>
      </c>
      <c r="I584" s="2">
        <v>46086</v>
      </c>
      <c r="J584" s="33">
        <f t="shared" si="114"/>
        <v>16275</v>
      </c>
      <c r="K584" s="3">
        <v>1175</v>
      </c>
      <c r="L584" s="3">
        <v>14100</v>
      </c>
      <c r="M584" s="3">
        <v>0</v>
      </c>
      <c r="N584" s="3">
        <v>0</v>
      </c>
      <c r="O584" s="3">
        <v>1000</v>
      </c>
      <c r="P584" s="1" t="s">
        <v>2626</v>
      </c>
      <c r="Q584" s="3">
        <v>5359</v>
      </c>
      <c r="R584" s="25">
        <f t="shared" si="115"/>
        <v>0.32927803379416282</v>
      </c>
      <c r="S584" s="32">
        <f>Q584</f>
        <v>5359</v>
      </c>
      <c r="T584" s="31">
        <f t="shared" si="116"/>
        <v>-10916</v>
      </c>
      <c r="U584" s="1" t="s">
        <v>3616</v>
      </c>
      <c r="V584" s="16"/>
      <c r="W584" s="30">
        <f t="shared" si="119"/>
        <v>0</v>
      </c>
      <c r="X584" s="27">
        <f t="shared" si="117"/>
        <v>0.32927803379416282</v>
      </c>
      <c r="Y584" s="18"/>
      <c r="Z584" s="19"/>
    </row>
    <row r="585" spans="1:26" x14ac:dyDescent="0.35">
      <c r="A585" s="29">
        <v>1</v>
      </c>
      <c r="B585" s="1" t="s">
        <v>3622</v>
      </c>
      <c r="C585" s="1"/>
      <c r="D585" s="1" t="s">
        <v>2648</v>
      </c>
      <c r="E585" s="1" t="s">
        <v>2649</v>
      </c>
      <c r="F585" s="1" t="s">
        <v>21</v>
      </c>
      <c r="G585" s="5" t="s">
        <v>2650</v>
      </c>
      <c r="H585" s="1" t="s">
        <v>878</v>
      </c>
      <c r="I585" s="2">
        <v>46086</v>
      </c>
      <c r="J585" s="33">
        <f t="shared" si="114"/>
        <v>15012</v>
      </c>
      <c r="K585" s="3">
        <v>1221</v>
      </c>
      <c r="L585" s="3">
        <v>12791</v>
      </c>
      <c r="M585" s="3">
        <v>0</v>
      </c>
      <c r="N585" s="3">
        <v>0</v>
      </c>
      <c r="O585" s="3">
        <v>1000</v>
      </c>
      <c r="P585" s="1" t="s">
        <v>2651</v>
      </c>
      <c r="Q585" s="3">
        <v>6148</v>
      </c>
      <c r="R585" s="25">
        <f t="shared" si="115"/>
        <v>0.40953903543831599</v>
      </c>
      <c r="S585" s="32">
        <f>Q585</f>
        <v>6148</v>
      </c>
      <c r="T585" s="31">
        <f t="shared" si="116"/>
        <v>-8864</v>
      </c>
      <c r="U585" s="1" t="s">
        <v>3616</v>
      </c>
      <c r="V585" s="16"/>
      <c r="W585" s="30">
        <f t="shared" si="119"/>
        <v>0</v>
      </c>
      <c r="X585" s="27">
        <f t="shared" si="117"/>
        <v>0.40953903543831599</v>
      </c>
      <c r="Y585" s="18"/>
      <c r="Z585" s="19"/>
    </row>
    <row r="586" spans="1:26" x14ac:dyDescent="0.35">
      <c r="A586" s="29">
        <v>1</v>
      </c>
      <c r="B586" s="1" t="s">
        <v>3622</v>
      </c>
      <c r="C586" s="1"/>
      <c r="D586" s="1" t="s">
        <v>2515</v>
      </c>
      <c r="E586" s="1" t="s">
        <v>2516</v>
      </c>
      <c r="F586" s="1" t="s">
        <v>21</v>
      </c>
      <c r="G586" s="5" t="s">
        <v>2517</v>
      </c>
      <c r="H586" s="1" t="s">
        <v>17</v>
      </c>
      <c r="I586" s="2">
        <v>46086</v>
      </c>
      <c r="J586" s="33">
        <f t="shared" si="114"/>
        <v>108627</v>
      </c>
      <c r="K586" s="3">
        <v>7816</v>
      </c>
      <c r="L586" s="3">
        <v>91478</v>
      </c>
      <c r="M586" s="3">
        <v>8333</v>
      </c>
      <c r="N586" s="3">
        <v>0</v>
      </c>
      <c r="O586" s="3">
        <v>1000</v>
      </c>
      <c r="P586" s="1" t="s">
        <v>2518</v>
      </c>
      <c r="Q586" s="3">
        <v>162270</v>
      </c>
      <c r="R586" s="25">
        <f t="shared" si="115"/>
        <v>1.4938275014499158</v>
      </c>
      <c r="S586" s="32">
        <f>J586</f>
        <v>108627</v>
      </c>
      <c r="T586" s="3">
        <f t="shared" si="116"/>
        <v>0</v>
      </c>
      <c r="U586" s="1" t="s">
        <v>3615</v>
      </c>
      <c r="V586" s="16">
        <v>1</v>
      </c>
      <c r="W586" s="28">
        <f t="shared" si="119"/>
        <v>1</v>
      </c>
      <c r="X586" s="27">
        <f t="shared" si="117"/>
        <v>1</v>
      </c>
      <c r="Y586" s="18"/>
      <c r="Z586" s="19"/>
    </row>
    <row r="587" spans="1:26" x14ac:dyDescent="0.35">
      <c r="A587" s="29">
        <v>1</v>
      </c>
      <c r="B587" s="1" t="s">
        <v>3622</v>
      </c>
      <c r="C587" s="1"/>
      <c r="D587" s="1" t="s">
        <v>2557</v>
      </c>
      <c r="E587" s="1" t="s">
        <v>2558</v>
      </c>
      <c r="F587" s="1" t="s">
        <v>21</v>
      </c>
      <c r="G587" s="5" t="s">
        <v>2559</v>
      </c>
      <c r="H587" s="1" t="s">
        <v>17</v>
      </c>
      <c r="I587" s="2">
        <v>46086</v>
      </c>
      <c r="J587" s="33">
        <f t="shared" si="114"/>
        <v>55053</v>
      </c>
      <c r="K587" s="3">
        <v>5426</v>
      </c>
      <c r="L587" s="3">
        <v>44460</v>
      </c>
      <c r="M587" s="3">
        <v>4167</v>
      </c>
      <c r="N587" s="3">
        <v>0</v>
      </c>
      <c r="O587" s="3">
        <v>1000</v>
      </c>
      <c r="P587" s="1" t="s">
        <v>2560</v>
      </c>
      <c r="Q587" s="3">
        <v>128363</v>
      </c>
      <c r="R587" s="25">
        <f t="shared" si="115"/>
        <v>2.3316258877808655</v>
      </c>
      <c r="S587" s="32">
        <f>J587</f>
        <v>55053</v>
      </c>
      <c r="T587" s="3">
        <f t="shared" si="116"/>
        <v>0</v>
      </c>
      <c r="U587" s="1" t="s">
        <v>3615</v>
      </c>
      <c r="V587" s="16">
        <v>1</v>
      </c>
      <c r="W587" s="28">
        <f t="shared" si="119"/>
        <v>1</v>
      </c>
      <c r="X587" s="27">
        <f t="shared" si="117"/>
        <v>1</v>
      </c>
      <c r="Y587" s="18"/>
      <c r="Z587" s="19"/>
    </row>
    <row r="588" spans="1:26" x14ac:dyDescent="0.35">
      <c r="A588" s="29">
        <v>1</v>
      </c>
      <c r="B588" s="1" t="s">
        <v>3622</v>
      </c>
      <c r="C588" s="1"/>
      <c r="D588" s="1" t="s">
        <v>2561</v>
      </c>
      <c r="E588" s="1" t="s">
        <v>2562</v>
      </c>
      <c r="F588" s="1" t="s">
        <v>21</v>
      </c>
      <c r="G588" s="5" t="s">
        <v>2563</v>
      </c>
      <c r="H588" s="1" t="s">
        <v>17</v>
      </c>
      <c r="I588" s="2">
        <v>46086</v>
      </c>
      <c r="J588" s="33">
        <f t="shared" si="114"/>
        <v>55053</v>
      </c>
      <c r="K588" s="3">
        <v>5426</v>
      </c>
      <c r="L588" s="3">
        <v>44460</v>
      </c>
      <c r="M588" s="3">
        <v>4167</v>
      </c>
      <c r="N588" s="3">
        <v>0</v>
      </c>
      <c r="O588" s="3">
        <v>1000</v>
      </c>
      <c r="P588" s="1" t="s">
        <v>2564</v>
      </c>
      <c r="Q588" s="3">
        <v>111663</v>
      </c>
      <c r="R588" s="25">
        <f t="shared" si="115"/>
        <v>2.0282818375020435</v>
      </c>
      <c r="S588" s="32">
        <f>J588</f>
        <v>55053</v>
      </c>
      <c r="T588" s="3">
        <f t="shared" si="116"/>
        <v>0</v>
      </c>
      <c r="U588" s="1" t="s">
        <v>3615</v>
      </c>
      <c r="V588" s="16">
        <v>1</v>
      </c>
      <c r="W588" s="28">
        <f t="shared" si="119"/>
        <v>1</v>
      </c>
      <c r="X588" s="27">
        <f t="shared" si="117"/>
        <v>1</v>
      </c>
      <c r="Y588" s="18"/>
      <c r="Z588" s="19"/>
    </row>
    <row r="589" spans="1:26" x14ac:dyDescent="0.35">
      <c r="A589" s="29">
        <v>1</v>
      </c>
      <c r="B589" s="1" t="s">
        <v>3622</v>
      </c>
      <c r="C589" s="1"/>
      <c r="D589" s="1" t="s">
        <v>2565</v>
      </c>
      <c r="E589" s="1" t="s">
        <v>2566</v>
      </c>
      <c r="F589" s="1" t="s">
        <v>21</v>
      </c>
      <c r="G589" s="5" t="s">
        <v>2567</v>
      </c>
      <c r="H589" s="1" t="s">
        <v>17</v>
      </c>
      <c r="I589" s="2">
        <v>46086</v>
      </c>
      <c r="J589" s="33">
        <f t="shared" si="114"/>
        <v>109104</v>
      </c>
      <c r="K589" s="3">
        <v>10851</v>
      </c>
      <c r="L589" s="3">
        <v>88920</v>
      </c>
      <c r="M589" s="3">
        <v>8333</v>
      </c>
      <c r="N589" s="3">
        <v>0</v>
      </c>
      <c r="O589" s="3">
        <v>1000</v>
      </c>
      <c r="P589" s="1" t="s">
        <v>2568</v>
      </c>
      <c r="Q589" s="3">
        <v>50133</v>
      </c>
      <c r="R589" s="25">
        <f t="shared" si="115"/>
        <v>0.45949736031676197</v>
      </c>
      <c r="S589" s="32">
        <f>Q589</f>
        <v>50133</v>
      </c>
      <c r="T589" s="31">
        <f t="shared" si="116"/>
        <v>-58971</v>
      </c>
      <c r="U589" s="1" t="s">
        <v>3616</v>
      </c>
      <c r="V589" s="16"/>
      <c r="W589" s="30">
        <f t="shared" si="119"/>
        <v>0</v>
      </c>
      <c r="X589" s="27">
        <f t="shared" si="117"/>
        <v>0.45949736031676197</v>
      </c>
      <c r="Y589" s="18"/>
      <c r="Z589" s="19"/>
    </row>
    <row r="590" spans="1:26" x14ac:dyDescent="0.35">
      <c r="A590" s="29">
        <v>1</v>
      </c>
      <c r="B590" s="1" t="s">
        <v>3622</v>
      </c>
      <c r="C590" s="1"/>
      <c r="D590" s="1" t="s">
        <v>2577</v>
      </c>
      <c r="E590" s="1" t="s">
        <v>2578</v>
      </c>
      <c r="F590" s="1" t="s">
        <v>21</v>
      </c>
      <c r="G590" s="5" t="s">
        <v>2579</v>
      </c>
      <c r="H590" s="1" t="s">
        <v>17</v>
      </c>
      <c r="I590" s="2">
        <v>46086</v>
      </c>
      <c r="J590" s="33">
        <f t="shared" si="114"/>
        <v>33431</v>
      </c>
      <c r="K590" s="3">
        <v>3255</v>
      </c>
      <c r="L590" s="3">
        <v>26676</v>
      </c>
      <c r="M590" s="3">
        <v>2500</v>
      </c>
      <c r="N590" s="3">
        <v>0</v>
      </c>
      <c r="O590" s="3">
        <v>1000</v>
      </c>
      <c r="P590" s="1" t="s">
        <v>2580</v>
      </c>
      <c r="Q590" s="3">
        <v>0</v>
      </c>
      <c r="R590" s="25">
        <f t="shared" si="115"/>
        <v>0</v>
      </c>
      <c r="S590" s="32">
        <f>Q590</f>
        <v>0</v>
      </c>
      <c r="T590" s="31">
        <f t="shared" si="116"/>
        <v>-33431</v>
      </c>
      <c r="U590" s="1" t="s">
        <v>3616</v>
      </c>
      <c r="V590" s="16"/>
      <c r="W590" s="30">
        <f t="shared" si="119"/>
        <v>0</v>
      </c>
      <c r="X590" s="27">
        <f t="shared" si="117"/>
        <v>0</v>
      </c>
      <c r="Y590" s="18"/>
      <c r="Z590" s="19"/>
    </row>
    <row r="591" spans="1:26" x14ac:dyDescent="0.35">
      <c r="A591" s="29">
        <v>1</v>
      </c>
      <c r="B591" s="1" t="s">
        <v>3622</v>
      </c>
      <c r="C591" s="1"/>
      <c r="D591" s="1" t="s">
        <v>2569</v>
      </c>
      <c r="E591" s="1" t="s">
        <v>2570</v>
      </c>
      <c r="F591" s="1" t="s">
        <v>21</v>
      </c>
      <c r="G591" s="5" t="s">
        <v>2571</v>
      </c>
      <c r="H591" s="1" t="s">
        <v>17</v>
      </c>
      <c r="I591" s="2">
        <v>46086</v>
      </c>
      <c r="J591" s="33">
        <f t="shared" si="114"/>
        <v>366561</v>
      </c>
      <c r="K591" s="3">
        <v>61413</v>
      </c>
      <c r="L591" s="3">
        <v>276370</v>
      </c>
      <c r="M591" s="3">
        <v>27778</v>
      </c>
      <c r="N591" s="3">
        <v>0</v>
      </c>
      <c r="O591" s="3">
        <v>1000</v>
      </c>
      <c r="P591" s="1" t="s">
        <v>2572</v>
      </c>
      <c r="Q591" s="3">
        <v>365140</v>
      </c>
      <c r="R591" s="24">
        <f t="shared" si="115"/>
        <v>0.9961234282970638</v>
      </c>
      <c r="S591" s="32">
        <f t="shared" ref="S591:S598" si="120">J591</f>
        <v>366561</v>
      </c>
      <c r="T591" s="31">
        <f t="shared" si="116"/>
        <v>0</v>
      </c>
      <c r="U591" s="1" t="s">
        <v>3615</v>
      </c>
      <c r="V591" s="16"/>
      <c r="W591" s="30">
        <f t="shared" si="119"/>
        <v>0</v>
      </c>
      <c r="X591" s="27">
        <f t="shared" si="117"/>
        <v>1</v>
      </c>
      <c r="Y591" s="18"/>
      <c r="Z591" s="19"/>
    </row>
    <row r="592" spans="1:26" x14ac:dyDescent="0.35">
      <c r="A592" s="29">
        <v>1</v>
      </c>
      <c r="B592" s="1" t="s">
        <v>3622</v>
      </c>
      <c r="C592" s="1"/>
      <c r="D592" s="1" t="s">
        <v>2573</v>
      </c>
      <c r="E592" s="1" t="s">
        <v>2574</v>
      </c>
      <c r="F592" s="1" t="s">
        <v>21</v>
      </c>
      <c r="G592" s="5" t="s">
        <v>2575</v>
      </c>
      <c r="H592" s="1" t="s">
        <v>17</v>
      </c>
      <c r="I592" s="2">
        <v>46086</v>
      </c>
      <c r="J592" s="33">
        <f t="shared" si="114"/>
        <v>22621</v>
      </c>
      <c r="K592" s="3">
        <v>2170</v>
      </c>
      <c r="L592" s="3">
        <v>17784</v>
      </c>
      <c r="M592" s="3">
        <v>1667</v>
      </c>
      <c r="N592" s="3">
        <v>0</v>
      </c>
      <c r="O592" s="3">
        <v>1000</v>
      </c>
      <c r="P592" s="1" t="s">
        <v>2576</v>
      </c>
      <c r="Q592" s="3">
        <v>37294</v>
      </c>
      <c r="R592" s="25">
        <f t="shared" si="115"/>
        <v>1.648645064320764</v>
      </c>
      <c r="S592" s="32">
        <f t="shared" si="120"/>
        <v>22621</v>
      </c>
      <c r="T592" s="3">
        <f t="shared" si="116"/>
        <v>0</v>
      </c>
      <c r="U592" s="1" t="s">
        <v>3615</v>
      </c>
      <c r="V592" s="16">
        <v>1</v>
      </c>
      <c r="W592" s="28">
        <f t="shared" si="119"/>
        <v>1</v>
      </c>
      <c r="X592" s="27">
        <f t="shared" si="117"/>
        <v>1</v>
      </c>
      <c r="Y592" s="18"/>
      <c r="Z592" s="19"/>
    </row>
    <row r="593" spans="1:26" x14ac:dyDescent="0.35">
      <c r="A593" s="29">
        <v>1</v>
      </c>
      <c r="B593" s="1" t="s">
        <v>3622</v>
      </c>
      <c r="C593" s="1"/>
      <c r="D593" s="1" t="s">
        <v>2627</v>
      </c>
      <c r="E593" s="1" t="s">
        <v>2628</v>
      </c>
      <c r="F593" s="1" t="s">
        <v>21</v>
      </c>
      <c r="G593" s="5" t="s">
        <v>2629</v>
      </c>
      <c r="H593" s="1" t="s">
        <v>17</v>
      </c>
      <c r="I593" s="2">
        <v>46086</v>
      </c>
      <c r="J593" s="33">
        <f t="shared" si="114"/>
        <v>55053</v>
      </c>
      <c r="K593" s="3">
        <v>6678</v>
      </c>
      <c r="L593" s="3">
        <v>43208</v>
      </c>
      <c r="M593" s="3">
        <v>4167</v>
      </c>
      <c r="N593" s="3">
        <v>0</v>
      </c>
      <c r="O593" s="3">
        <v>1000</v>
      </c>
      <c r="P593" s="1" t="s">
        <v>2630</v>
      </c>
      <c r="Q593" s="3">
        <v>201204</v>
      </c>
      <c r="R593" s="25">
        <f t="shared" si="115"/>
        <v>3.6547327121137814</v>
      </c>
      <c r="S593" s="32">
        <f t="shared" si="120"/>
        <v>55053</v>
      </c>
      <c r="T593" s="3">
        <f t="shared" si="116"/>
        <v>0</v>
      </c>
      <c r="U593" s="1" t="s">
        <v>3615</v>
      </c>
      <c r="V593" s="16">
        <v>1</v>
      </c>
      <c r="W593" s="28">
        <f t="shared" si="119"/>
        <v>1</v>
      </c>
      <c r="X593" s="27">
        <f t="shared" si="117"/>
        <v>1</v>
      </c>
      <c r="Y593" s="18"/>
      <c r="Z593" s="19"/>
    </row>
    <row r="594" spans="1:26" x14ac:dyDescent="0.35">
      <c r="A594" s="29">
        <v>1</v>
      </c>
      <c r="B594" s="1" t="s">
        <v>3622</v>
      </c>
      <c r="C594" s="1"/>
      <c r="D594" s="1" t="s">
        <v>2665</v>
      </c>
      <c r="E594" s="1" t="s">
        <v>2666</v>
      </c>
      <c r="F594" s="1" t="s">
        <v>21</v>
      </c>
      <c r="G594" s="5" t="s">
        <v>2667</v>
      </c>
      <c r="H594" s="1" t="s">
        <v>17</v>
      </c>
      <c r="I594" s="2">
        <v>46086</v>
      </c>
      <c r="J594" s="33">
        <f t="shared" si="114"/>
        <v>163157</v>
      </c>
      <c r="K594" s="3">
        <v>20035</v>
      </c>
      <c r="L594" s="3">
        <v>129622</v>
      </c>
      <c r="M594" s="3">
        <v>12500</v>
      </c>
      <c r="N594" s="3">
        <v>0</v>
      </c>
      <c r="O594" s="3">
        <v>1000</v>
      </c>
      <c r="P594" s="1" t="s">
        <v>2668</v>
      </c>
      <c r="Q594" s="3">
        <v>386514</v>
      </c>
      <c r="R594" s="25">
        <f t="shared" si="115"/>
        <v>2.3689697653180679</v>
      </c>
      <c r="S594" s="32">
        <f t="shared" si="120"/>
        <v>163157</v>
      </c>
      <c r="T594" s="3">
        <f t="shared" si="116"/>
        <v>0</v>
      </c>
      <c r="U594" s="1" t="s">
        <v>3615</v>
      </c>
      <c r="V594" s="16">
        <v>1</v>
      </c>
      <c r="W594" s="28">
        <f t="shared" si="119"/>
        <v>1</v>
      </c>
      <c r="X594" s="27">
        <f t="shared" si="117"/>
        <v>1</v>
      </c>
      <c r="Y594" s="18"/>
      <c r="Z594" s="19"/>
    </row>
    <row r="595" spans="1:26" x14ac:dyDescent="0.35">
      <c r="A595" s="29">
        <v>1</v>
      </c>
      <c r="B595" s="1" t="s">
        <v>3622</v>
      </c>
      <c r="C595" s="1"/>
      <c r="D595" s="1" t="s">
        <v>2614</v>
      </c>
      <c r="E595" s="1" t="s">
        <v>2615</v>
      </c>
      <c r="F595" s="1" t="s">
        <v>21</v>
      </c>
      <c r="G595" s="5" t="s">
        <v>2616</v>
      </c>
      <c r="H595" s="1" t="s">
        <v>17</v>
      </c>
      <c r="I595" s="2">
        <v>46086</v>
      </c>
      <c r="J595" s="33">
        <f t="shared" si="114"/>
        <v>220337</v>
      </c>
      <c r="K595" s="3">
        <v>39193</v>
      </c>
      <c r="L595" s="3">
        <v>163477</v>
      </c>
      <c r="M595" s="3">
        <v>16667</v>
      </c>
      <c r="N595" s="3">
        <v>0</v>
      </c>
      <c r="O595" s="3">
        <v>1000</v>
      </c>
      <c r="P595" s="1" t="s">
        <v>2617</v>
      </c>
      <c r="Q595" s="3">
        <v>845508</v>
      </c>
      <c r="R595" s="25">
        <f t="shared" si="115"/>
        <v>3.837340074522209</v>
      </c>
      <c r="S595" s="32">
        <f t="shared" si="120"/>
        <v>220337</v>
      </c>
      <c r="T595" s="3">
        <f t="shared" si="116"/>
        <v>0</v>
      </c>
      <c r="U595" s="1" t="s">
        <v>3615</v>
      </c>
      <c r="V595" s="16">
        <v>1</v>
      </c>
      <c r="W595" s="28">
        <f t="shared" si="119"/>
        <v>1</v>
      </c>
      <c r="X595" s="27">
        <f t="shared" si="117"/>
        <v>1</v>
      </c>
      <c r="Y595" s="18"/>
      <c r="Z595" s="19"/>
    </row>
    <row r="596" spans="1:26" x14ac:dyDescent="0.35">
      <c r="A596" s="29">
        <v>1</v>
      </c>
      <c r="B596" s="1" t="s">
        <v>3622</v>
      </c>
      <c r="C596" s="1"/>
      <c r="D596" s="1" t="s">
        <v>2640</v>
      </c>
      <c r="E596" s="1" t="s">
        <v>2641</v>
      </c>
      <c r="F596" s="1" t="s">
        <v>21</v>
      </c>
      <c r="G596" s="5" t="s">
        <v>2642</v>
      </c>
      <c r="H596" s="1" t="s">
        <v>17</v>
      </c>
      <c r="I596" s="2">
        <v>46086</v>
      </c>
      <c r="J596" s="33">
        <f t="shared" si="114"/>
        <v>55053</v>
      </c>
      <c r="K596" s="3">
        <v>6678</v>
      </c>
      <c r="L596" s="3">
        <v>43208</v>
      </c>
      <c r="M596" s="3">
        <v>4167</v>
      </c>
      <c r="N596" s="3">
        <v>0</v>
      </c>
      <c r="O596" s="3">
        <v>1000</v>
      </c>
      <c r="P596" s="1" t="s">
        <v>2643</v>
      </c>
      <c r="Q596" s="3">
        <v>140004</v>
      </c>
      <c r="R596" s="25">
        <f t="shared" si="115"/>
        <v>2.5430766715710313</v>
      </c>
      <c r="S596" s="32">
        <f t="shared" si="120"/>
        <v>55053</v>
      </c>
      <c r="T596" s="3">
        <f t="shared" si="116"/>
        <v>0</v>
      </c>
      <c r="U596" s="1" t="s">
        <v>3615</v>
      </c>
      <c r="V596" s="16">
        <v>1</v>
      </c>
      <c r="W596" s="28">
        <f t="shared" si="119"/>
        <v>1</v>
      </c>
      <c r="X596" s="27">
        <f t="shared" si="117"/>
        <v>1</v>
      </c>
      <c r="Y596" s="18"/>
      <c r="Z596" s="19"/>
    </row>
    <row r="597" spans="1:26" x14ac:dyDescent="0.35">
      <c r="A597" s="29">
        <v>1</v>
      </c>
      <c r="B597" s="1" t="s">
        <v>3622</v>
      </c>
      <c r="C597" s="1"/>
      <c r="D597" s="1" t="s">
        <v>2636</v>
      </c>
      <c r="E597" s="1" t="s">
        <v>2637</v>
      </c>
      <c r="F597" s="1" t="s">
        <v>21</v>
      </c>
      <c r="G597" s="5" t="s">
        <v>2638</v>
      </c>
      <c r="H597" s="1" t="s">
        <v>17</v>
      </c>
      <c r="I597" s="2">
        <v>46086</v>
      </c>
      <c r="J597" s="33">
        <f t="shared" si="114"/>
        <v>44051</v>
      </c>
      <c r="K597" s="3">
        <v>5059</v>
      </c>
      <c r="L597" s="3">
        <v>34659</v>
      </c>
      <c r="M597" s="3">
        <v>3333</v>
      </c>
      <c r="N597" s="3">
        <v>0</v>
      </c>
      <c r="O597" s="3">
        <v>1000</v>
      </c>
      <c r="P597" s="1" t="s">
        <v>2639</v>
      </c>
      <c r="Q597" s="3">
        <v>124178</v>
      </c>
      <c r="R597" s="25">
        <f t="shared" si="115"/>
        <v>2.8189598420013167</v>
      </c>
      <c r="S597" s="32">
        <f t="shared" si="120"/>
        <v>44051</v>
      </c>
      <c r="T597" s="3">
        <f t="shared" si="116"/>
        <v>0</v>
      </c>
      <c r="U597" s="1" t="s">
        <v>3615</v>
      </c>
      <c r="V597" s="16">
        <v>1</v>
      </c>
      <c r="W597" s="28">
        <f t="shared" si="119"/>
        <v>1</v>
      </c>
      <c r="X597" s="27">
        <f t="shared" si="117"/>
        <v>1</v>
      </c>
      <c r="Y597" s="18"/>
      <c r="Z597" s="19"/>
    </row>
    <row r="598" spans="1:26" x14ac:dyDescent="0.35">
      <c r="A598" s="29">
        <v>1</v>
      </c>
      <c r="B598" s="1" t="s">
        <v>3622</v>
      </c>
      <c r="C598" s="1"/>
      <c r="D598" s="1" t="s">
        <v>2684</v>
      </c>
      <c r="E598" s="1" t="s">
        <v>2685</v>
      </c>
      <c r="F598" s="1" t="s">
        <v>21</v>
      </c>
      <c r="G598" s="5" t="s">
        <v>2686</v>
      </c>
      <c r="H598" s="1" t="s">
        <v>17</v>
      </c>
      <c r="I598" s="2">
        <v>46086</v>
      </c>
      <c r="J598" s="33">
        <f t="shared" si="114"/>
        <v>3864</v>
      </c>
      <c r="K598" s="3">
        <v>1614</v>
      </c>
      <c r="L598" s="3">
        <v>0</v>
      </c>
      <c r="M598" s="3">
        <v>1250</v>
      </c>
      <c r="N598" s="3">
        <v>0</v>
      </c>
      <c r="O598" s="3">
        <v>1000</v>
      </c>
      <c r="P598" s="1" t="s">
        <v>2687</v>
      </c>
      <c r="Q598" s="3">
        <v>47600</v>
      </c>
      <c r="R598" s="25">
        <f t="shared" si="115"/>
        <v>12.318840579710145</v>
      </c>
      <c r="S598" s="32">
        <f t="shared" si="120"/>
        <v>3864</v>
      </c>
      <c r="T598" s="3">
        <f t="shared" si="116"/>
        <v>0</v>
      </c>
      <c r="U598" s="1" t="s">
        <v>3615</v>
      </c>
      <c r="V598" s="16">
        <v>1</v>
      </c>
      <c r="W598" s="28">
        <f t="shared" si="119"/>
        <v>1</v>
      </c>
      <c r="X598" s="27">
        <f t="shared" si="117"/>
        <v>1</v>
      </c>
      <c r="Y598" s="18"/>
      <c r="Z598" s="19"/>
    </row>
    <row r="599" spans="1:26" s="40" customFormat="1" ht="15" thickBot="1" x14ac:dyDescent="0.4">
      <c r="A599" s="34">
        <f>SUM(A560:A598)</f>
        <v>39</v>
      </c>
      <c r="B599" s="73" t="s">
        <v>3630</v>
      </c>
      <c r="C599" s="73"/>
      <c r="D599" s="73"/>
      <c r="E599" s="73"/>
      <c r="F599" s="73"/>
      <c r="G599" s="73"/>
      <c r="H599" s="73"/>
      <c r="I599" s="73"/>
      <c r="J599" s="35">
        <f>SUM(J560:J598)</f>
        <v>4417040</v>
      </c>
      <c r="K599" s="36">
        <f t="shared" ref="K599:V599" si="121">SUM(K560:K598)</f>
        <v>604942</v>
      </c>
      <c r="L599" s="36">
        <f t="shared" si="121"/>
        <v>3452267</v>
      </c>
      <c r="M599" s="36">
        <f t="shared" si="121"/>
        <v>320831</v>
      </c>
      <c r="N599" s="36">
        <f t="shared" si="121"/>
        <v>0</v>
      </c>
      <c r="O599" s="36">
        <f t="shared" si="121"/>
        <v>39000</v>
      </c>
      <c r="P599" s="36">
        <f t="shared" si="121"/>
        <v>0</v>
      </c>
      <c r="Q599" s="36">
        <f t="shared" si="121"/>
        <v>7016955</v>
      </c>
      <c r="R599" s="36"/>
      <c r="S599" s="45">
        <f t="shared" si="121"/>
        <v>3839586</v>
      </c>
      <c r="T599" s="37">
        <f t="shared" si="121"/>
        <v>-577454</v>
      </c>
      <c r="U599" s="35">
        <f t="shared" si="121"/>
        <v>0</v>
      </c>
      <c r="V599" s="35">
        <f t="shared" si="121"/>
        <v>25</v>
      </c>
      <c r="W599" s="38">
        <f t="shared" si="119"/>
        <v>0.64102564102564108</v>
      </c>
      <c r="X599" s="39">
        <f t="shared" ref="X599" si="122">S599/J599</f>
        <v>0.86926674877293386</v>
      </c>
    </row>
    <row r="600" spans="1:26" x14ac:dyDescent="0.35">
      <c r="A600" s="29">
        <v>1</v>
      </c>
      <c r="B600" s="1" t="s">
        <v>3623</v>
      </c>
      <c r="C600" s="1"/>
      <c r="D600" s="1" t="s">
        <v>2693</v>
      </c>
      <c r="E600" s="1" t="s">
        <v>2694</v>
      </c>
      <c r="F600" s="1" t="s">
        <v>2695</v>
      </c>
      <c r="G600" s="5" t="s">
        <v>2696</v>
      </c>
      <c r="H600" s="1" t="s">
        <v>17</v>
      </c>
      <c r="I600" s="2">
        <v>46086</v>
      </c>
      <c r="J600" s="33">
        <f t="shared" ref="J600:J631" si="123">SUM(K600:O600)</f>
        <v>108627</v>
      </c>
      <c r="K600" s="3">
        <v>3999</v>
      </c>
      <c r="L600" s="3">
        <v>95295</v>
      </c>
      <c r="M600" s="3">
        <v>8333</v>
      </c>
      <c r="N600" s="3">
        <v>0</v>
      </c>
      <c r="O600" s="3">
        <v>1000</v>
      </c>
      <c r="P600" s="1" t="s">
        <v>2697</v>
      </c>
      <c r="Q600" s="3">
        <v>193649</v>
      </c>
      <c r="R600" s="25">
        <f t="shared" ref="R600:R631" si="124">Q600/J600</f>
        <v>1.7826967512681009</v>
      </c>
      <c r="S600" s="32">
        <f t="shared" ref="S600:S612" si="125">J600</f>
        <v>108627</v>
      </c>
      <c r="T600" s="3">
        <f t="shared" ref="T600:T631" si="126">S600-J600</f>
        <v>0</v>
      </c>
      <c r="U600" s="1" t="s">
        <v>3615</v>
      </c>
      <c r="V600" s="16">
        <v>1</v>
      </c>
      <c r="W600" s="28">
        <f t="shared" si="119"/>
        <v>1</v>
      </c>
      <c r="X600" s="27">
        <f t="shared" ref="X600:X631" si="127">S600/J600</f>
        <v>1</v>
      </c>
      <c r="Y600" s="18"/>
      <c r="Z600" s="19"/>
    </row>
    <row r="601" spans="1:26" x14ac:dyDescent="0.35">
      <c r="A601" s="29">
        <v>1</v>
      </c>
      <c r="B601" s="1" t="s">
        <v>3623</v>
      </c>
      <c r="C601" s="1"/>
      <c r="D601" s="1" t="s">
        <v>3017</v>
      </c>
      <c r="E601" s="1" t="s">
        <v>3018</v>
      </c>
      <c r="F601" s="1" t="s">
        <v>3019</v>
      </c>
      <c r="G601" s="5" t="s">
        <v>3020</v>
      </c>
      <c r="H601" s="1" t="s">
        <v>467</v>
      </c>
      <c r="I601" s="2">
        <v>46086</v>
      </c>
      <c r="J601" s="33">
        <f t="shared" si="123"/>
        <v>22211</v>
      </c>
      <c r="K601" s="3">
        <v>1231</v>
      </c>
      <c r="L601" s="3">
        <v>19980</v>
      </c>
      <c r="M601" s="3">
        <v>0</v>
      </c>
      <c r="N601" s="3">
        <v>0</v>
      </c>
      <c r="O601" s="3">
        <v>1000</v>
      </c>
      <c r="P601" s="1" t="s">
        <v>3021</v>
      </c>
      <c r="Q601" s="3">
        <v>93063</v>
      </c>
      <c r="R601" s="25">
        <f t="shared" si="124"/>
        <v>4.1899509252172349</v>
      </c>
      <c r="S601" s="32">
        <f t="shared" si="125"/>
        <v>22211</v>
      </c>
      <c r="T601" s="3">
        <f t="shared" si="126"/>
        <v>0</v>
      </c>
      <c r="U601" s="1" t="s">
        <v>3615</v>
      </c>
      <c r="V601" s="16">
        <v>1</v>
      </c>
      <c r="W601" s="28">
        <f t="shared" si="119"/>
        <v>1</v>
      </c>
      <c r="X601" s="27">
        <f t="shared" si="127"/>
        <v>1</v>
      </c>
      <c r="Y601" s="18"/>
      <c r="Z601" s="19"/>
    </row>
    <row r="602" spans="1:26" x14ac:dyDescent="0.35">
      <c r="A602" s="29">
        <v>1</v>
      </c>
      <c r="B602" s="1" t="s">
        <v>3623</v>
      </c>
      <c r="C602" s="1"/>
      <c r="D602" s="1" t="s">
        <v>2744</v>
      </c>
      <c r="E602" s="1" t="s">
        <v>2745</v>
      </c>
      <c r="F602" s="1" t="s">
        <v>2746</v>
      </c>
      <c r="G602" s="5" t="s">
        <v>2747</v>
      </c>
      <c r="H602" s="1" t="s">
        <v>17</v>
      </c>
      <c r="I602" s="2">
        <v>46086</v>
      </c>
      <c r="J602" s="33">
        <f t="shared" si="123"/>
        <v>33288</v>
      </c>
      <c r="K602" s="3">
        <v>3794</v>
      </c>
      <c r="L602" s="3">
        <v>25994</v>
      </c>
      <c r="M602" s="3">
        <v>2500</v>
      </c>
      <c r="N602" s="3">
        <v>0</v>
      </c>
      <c r="O602" s="3">
        <v>1000</v>
      </c>
      <c r="P602" s="1" t="s">
        <v>2748</v>
      </c>
      <c r="Q602" s="3">
        <v>118005</v>
      </c>
      <c r="R602" s="25">
        <f t="shared" si="124"/>
        <v>3.5449711607786591</v>
      </c>
      <c r="S602" s="32">
        <f t="shared" si="125"/>
        <v>33288</v>
      </c>
      <c r="T602" s="3">
        <f t="shared" si="126"/>
        <v>0</v>
      </c>
      <c r="U602" s="1" t="s">
        <v>3615</v>
      </c>
      <c r="V602" s="16">
        <v>1</v>
      </c>
      <c r="W602" s="28">
        <f t="shared" si="119"/>
        <v>1</v>
      </c>
      <c r="X602" s="27">
        <f t="shared" si="127"/>
        <v>1</v>
      </c>
      <c r="Y602" s="18"/>
      <c r="Z602" s="19"/>
    </row>
    <row r="603" spans="1:26" x14ac:dyDescent="0.35">
      <c r="A603" s="29">
        <v>1</v>
      </c>
      <c r="B603" s="1" t="s">
        <v>3623</v>
      </c>
      <c r="C603" s="1"/>
      <c r="D603" s="1" t="s">
        <v>2908</v>
      </c>
      <c r="E603" s="1" t="s">
        <v>2909</v>
      </c>
      <c r="F603" s="1" t="s">
        <v>2910</v>
      </c>
      <c r="G603" s="5" t="s">
        <v>2911</v>
      </c>
      <c r="H603" s="1" t="s">
        <v>2912</v>
      </c>
      <c r="I603" s="2">
        <v>46086</v>
      </c>
      <c r="J603" s="33">
        <f t="shared" si="123"/>
        <v>45277</v>
      </c>
      <c r="K603" s="3">
        <v>3603</v>
      </c>
      <c r="L603" s="3">
        <v>37757</v>
      </c>
      <c r="M603" s="3">
        <v>2917</v>
      </c>
      <c r="N603" s="3">
        <v>0</v>
      </c>
      <c r="O603" s="3">
        <v>1000</v>
      </c>
      <c r="P603" s="1" t="s">
        <v>2913</v>
      </c>
      <c r="Q603" s="3">
        <v>167265</v>
      </c>
      <c r="R603" s="25">
        <f t="shared" si="124"/>
        <v>3.6942597786955851</v>
      </c>
      <c r="S603" s="32">
        <f t="shared" si="125"/>
        <v>45277</v>
      </c>
      <c r="T603" s="3">
        <f t="shared" si="126"/>
        <v>0</v>
      </c>
      <c r="U603" s="1" t="s">
        <v>3615</v>
      </c>
      <c r="V603" s="16">
        <v>1</v>
      </c>
      <c r="W603" s="28">
        <f t="shared" si="119"/>
        <v>1</v>
      </c>
      <c r="X603" s="27">
        <f t="shared" si="127"/>
        <v>1</v>
      </c>
      <c r="Y603" s="18"/>
      <c r="Z603" s="19"/>
    </row>
    <row r="604" spans="1:26" x14ac:dyDescent="0.35">
      <c r="A604" s="29">
        <v>1</v>
      </c>
      <c r="B604" s="1" t="s">
        <v>3623</v>
      </c>
      <c r="C604" s="1"/>
      <c r="D604" s="1" t="s">
        <v>3004</v>
      </c>
      <c r="E604" s="1" t="s">
        <v>3005</v>
      </c>
      <c r="F604" s="1" t="s">
        <v>3006</v>
      </c>
      <c r="G604" s="5" t="s">
        <v>3007</v>
      </c>
      <c r="H604" s="1" t="s">
        <v>17</v>
      </c>
      <c r="I604" s="2">
        <v>46086</v>
      </c>
      <c r="J604" s="33">
        <f t="shared" si="123"/>
        <v>54814</v>
      </c>
      <c r="K604" s="3">
        <v>5134</v>
      </c>
      <c r="L604" s="3">
        <v>44513</v>
      </c>
      <c r="M604" s="3">
        <v>4167</v>
      </c>
      <c r="N604" s="3">
        <v>0</v>
      </c>
      <c r="O604" s="3">
        <v>1000</v>
      </c>
      <c r="P604" s="1" t="s">
        <v>3008</v>
      </c>
      <c r="Q604" s="3">
        <v>97113</v>
      </c>
      <c r="R604" s="25">
        <f t="shared" si="124"/>
        <v>1.7716824169007919</v>
      </c>
      <c r="S604" s="32">
        <f t="shared" si="125"/>
        <v>54814</v>
      </c>
      <c r="T604" s="3">
        <f t="shared" si="126"/>
        <v>0</v>
      </c>
      <c r="U604" s="1" t="s">
        <v>3615</v>
      </c>
      <c r="V604" s="16">
        <v>1</v>
      </c>
      <c r="W604" s="28">
        <f t="shared" si="119"/>
        <v>1</v>
      </c>
      <c r="X604" s="27">
        <f t="shared" si="127"/>
        <v>1</v>
      </c>
      <c r="Y604" s="18"/>
      <c r="Z604" s="19"/>
    </row>
    <row r="605" spans="1:26" x14ac:dyDescent="0.35">
      <c r="A605" s="29">
        <v>1</v>
      </c>
      <c r="B605" s="1" t="s">
        <v>3623</v>
      </c>
      <c r="C605" s="1"/>
      <c r="D605" s="1" t="s">
        <v>2821</v>
      </c>
      <c r="E605" s="1" t="s">
        <v>2822</v>
      </c>
      <c r="F605" s="1" t="s">
        <v>2823</v>
      </c>
      <c r="G605" s="5" t="s">
        <v>2824</v>
      </c>
      <c r="H605" s="1" t="s">
        <v>17</v>
      </c>
      <c r="I605" s="2">
        <v>46086</v>
      </c>
      <c r="J605" s="33">
        <f t="shared" si="123"/>
        <v>87102</v>
      </c>
      <c r="K605" s="3">
        <v>10119</v>
      </c>
      <c r="L605" s="3">
        <v>69316</v>
      </c>
      <c r="M605" s="3">
        <v>6667</v>
      </c>
      <c r="N605" s="3">
        <v>0</v>
      </c>
      <c r="O605" s="3">
        <v>1000</v>
      </c>
      <c r="P605" s="1" t="s">
        <v>2825</v>
      </c>
      <c r="Q605" s="3">
        <v>161683</v>
      </c>
      <c r="R605" s="25">
        <f t="shared" si="124"/>
        <v>1.8562489954306445</v>
      </c>
      <c r="S605" s="32">
        <f t="shared" si="125"/>
        <v>87102</v>
      </c>
      <c r="T605" s="3">
        <f t="shared" si="126"/>
        <v>0</v>
      </c>
      <c r="U605" s="1" t="s">
        <v>3615</v>
      </c>
      <c r="V605" s="16">
        <v>1</v>
      </c>
      <c r="W605" s="28">
        <f t="shared" si="119"/>
        <v>1</v>
      </c>
      <c r="X605" s="27">
        <f t="shared" si="127"/>
        <v>1</v>
      </c>
      <c r="Y605" s="18"/>
      <c r="Z605" s="19"/>
    </row>
    <row r="606" spans="1:26" x14ac:dyDescent="0.35">
      <c r="A606" s="29">
        <v>1</v>
      </c>
      <c r="B606" s="1" t="s">
        <v>3623</v>
      </c>
      <c r="C606" s="1"/>
      <c r="D606" s="1" t="s">
        <v>2845</v>
      </c>
      <c r="E606" s="1" t="s">
        <v>2846</v>
      </c>
      <c r="F606" s="1" t="s">
        <v>2847</v>
      </c>
      <c r="G606" s="5" t="s">
        <v>2848</v>
      </c>
      <c r="H606" s="1" t="s">
        <v>17</v>
      </c>
      <c r="I606" s="2">
        <v>46086</v>
      </c>
      <c r="J606" s="33">
        <f t="shared" si="123"/>
        <v>255223</v>
      </c>
      <c r="K606" s="3">
        <v>45826</v>
      </c>
      <c r="L606" s="3">
        <v>188953</v>
      </c>
      <c r="M606" s="3">
        <v>19444</v>
      </c>
      <c r="N606" s="3">
        <v>0</v>
      </c>
      <c r="O606" s="3">
        <v>1000</v>
      </c>
      <c r="P606" s="1" t="s">
        <v>2849</v>
      </c>
      <c r="Q606" s="3">
        <v>884422</v>
      </c>
      <c r="R606" s="25">
        <f t="shared" si="124"/>
        <v>3.4652911375542175</v>
      </c>
      <c r="S606" s="32">
        <f t="shared" si="125"/>
        <v>255223</v>
      </c>
      <c r="T606" s="3">
        <f t="shared" si="126"/>
        <v>0</v>
      </c>
      <c r="U606" s="1" t="s">
        <v>3615</v>
      </c>
      <c r="V606" s="16">
        <v>1</v>
      </c>
      <c r="W606" s="28">
        <f t="shared" si="119"/>
        <v>1</v>
      </c>
      <c r="X606" s="27">
        <f t="shared" si="127"/>
        <v>1</v>
      </c>
      <c r="Y606" s="18"/>
      <c r="Z606" s="19"/>
    </row>
    <row r="607" spans="1:26" x14ac:dyDescent="0.35">
      <c r="A607" s="29">
        <v>1</v>
      </c>
      <c r="B607" s="1" t="s">
        <v>3623</v>
      </c>
      <c r="C607" s="1"/>
      <c r="D607" s="1" t="s">
        <v>2804</v>
      </c>
      <c r="E607" s="1" t="s">
        <v>2805</v>
      </c>
      <c r="F607" s="1" t="s">
        <v>2806</v>
      </c>
      <c r="G607" s="5" t="s">
        <v>2807</v>
      </c>
      <c r="H607" s="1" t="s">
        <v>17</v>
      </c>
      <c r="I607" s="2">
        <v>46086</v>
      </c>
      <c r="J607" s="33">
        <f t="shared" si="123"/>
        <v>87102</v>
      </c>
      <c r="K607" s="3">
        <v>7238</v>
      </c>
      <c r="L607" s="3">
        <v>72197</v>
      </c>
      <c r="M607" s="3">
        <v>6667</v>
      </c>
      <c r="N607" s="3">
        <v>0</v>
      </c>
      <c r="O607" s="3">
        <v>1000</v>
      </c>
      <c r="P607" s="1" t="s">
        <v>2808</v>
      </c>
      <c r="Q607" s="3">
        <v>135348</v>
      </c>
      <c r="R607" s="25">
        <f t="shared" si="124"/>
        <v>1.5539023214162706</v>
      </c>
      <c r="S607" s="32">
        <f t="shared" si="125"/>
        <v>87102</v>
      </c>
      <c r="T607" s="3">
        <f t="shared" si="126"/>
        <v>0</v>
      </c>
      <c r="U607" s="1" t="s">
        <v>3615</v>
      </c>
      <c r="V607" s="16">
        <v>1</v>
      </c>
      <c r="W607" s="28">
        <f t="shared" si="119"/>
        <v>1</v>
      </c>
      <c r="X607" s="27">
        <f t="shared" si="127"/>
        <v>1</v>
      </c>
      <c r="Y607" s="18"/>
      <c r="Z607" s="19"/>
    </row>
    <row r="608" spans="1:26" x14ac:dyDescent="0.35">
      <c r="A608" s="29">
        <v>1</v>
      </c>
      <c r="B608" s="1" t="s">
        <v>3623</v>
      </c>
      <c r="C608" s="1"/>
      <c r="D608" s="1" t="s">
        <v>2749</v>
      </c>
      <c r="E608" s="1" t="s">
        <v>2750</v>
      </c>
      <c r="F608" s="1" t="s">
        <v>2751</v>
      </c>
      <c r="G608" s="5" t="s">
        <v>2752</v>
      </c>
      <c r="H608" s="1" t="s">
        <v>17</v>
      </c>
      <c r="I608" s="2">
        <v>46086</v>
      </c>
      <c r="J608" s="33">
        <f t="shared" si="123"/>
        <v>87390</v>
      </c>
      <c r="K608" s="3">
        <v>12918</v>
      </c>
      <c r="L608" s="3">
        <v>66805</v>
      </c>
      <c r="M608" s="3">
        <v>6667</v>
      </c>
      <c r="N608" s="3">
        <v>0</v>
      </c>
      <c r="O608" s="3">
        <v>1000</v>
      </c>
      <c r="P608" s="1" t="s">
        <v>2753</v>
      </c>
      <c r="Q608" s="3">
        <v>129116</v>
      </c>
      <c r="R608" s="25">
        <f t="shared" si="124"/>
        <v>1.4774688179425564</v>
      </c>
      <c r="S608" s="32">
        <f t="shared" si="125"/>
        <v>87390</v>
      </c>
      <c r="T608" s="3">
        <f t="shared" si="126"/>
        <v>0</v>
      </c>
      <c r="U608" s="1" t="s">
        <v>3615</v>
      </c>
      <c r="V608" s="16">
        <v>1</v>
      </c>
      <c r="W608" s="28">
        <f t="shared" si="119"/>
        <v>1</v>
      </c>
      <c r="X608" s="27">
        <f t="shared" si="127"/>
        <v>1</v>
      </c>
      <c r="Y608" s="18"/>
      <c r="Z608" s="19"/>
    </row>
    <row r="609" spans="1:26" x14ac:dyDescent="0.35">
      <c r="A609" s="29">
        <v>1</v>
      </c>
      <c r="B609" s="1" t="s">
        <v>3623</v>
      </c>
      <c r="C609" s="1"/>
      <c r="D609" s="1" t="s">
        <v>2730</v>
      </c>
      <c r="E609" s="1" t="s">
        <v>2731</v>
      </c>
      <c r="F609" s="1" t="s">
        <v>2732</v>
      </c>
      <c r="G609" s="5" t="s">
        <v>2733</v>
      </c>
      <c r="H609" s="1" t="s">
        <v>17</v>
      </c>
      <c r="I609" s="2">
        <v>46086</v>
      </c>
      <c r="J609" s="33">
        <f t="shared" si="123"/>
        <v>109952</v>
      </c>
      <c r="K609" s="3">
        <v>16301</v>
      </c>
      <c r="L609" s="3">
        <v>84318</v>
      </c>
      <c r="M609" s="3">
        <v>8333</v>
      </c>
      <c r="N609" s="3">
        <v>0</v>
      </c>
      <c r="O609" s="3">
        <v>1000</v>
      </c>
      <c r="P609" s="1" t="s">
        <v>2734</v>
      </c>
      <c r="Q609" s="3">
        <v>410929</v>
      </c>
      <c r="R609" s="25">
        <f t="shared" si="124"/>
        <v>3.7373490250291037</v>
      </c>
      <c r="S609" s="32">
        <f t="shared" si="125"/>
        <v>109952</v>
      </c>
      <c r="T609" s="3">
        <f t="shared" si="126"/>
        <v>0</v>
      </c>
      <c r="U609" s="1" t="s">
        <v>3615</v>
      </c>
      <c r="V609" s="16">
        <v>1</v>
      </c>
      <c r="W609" s="28">
        <f t="shared" si="119"/>
        <v>1</v>
      </c>
      <c r="X609" s="27">
        <f t="shared" si="127"/>
        <v>1</v>
      </c>
      <c r="Y609" s="18"/>
      <c r="Z609" s="19"/>
    </row>
    <row r="610" spans="1:26" x14ac:dyDescent="0.35">
      <c r="A610" s="29">
        <v>1</v>
      </c>
      <c r="B610" s="1" t="s">
        <v>3623</v>
      </c>
      <c r="C610" s="1"/>
      <c r="D610" s="1" t="s">
        <v>2735</v>
      </c>
      <c r="E610" s="1" t="s">
        <v>2736</v>
      </c>
      <c r="F610" s="1" t="s">
        <v>2737</v>
      </c>
      <c r="G610" s="5" t="s">
        <v>2738</v>
      </c>
      <c r="H610" s="1" t="s">
        <v>17</v>
      </c>
      <c r="I610" s="2">
        <v>46086</v>
      </c>
      <c r="J610" s="33">
        <f t="shared" si="123"/>
        <v>146270</v>
      </c>
      <c r="K610" s="3">
        <v>21735</v>
      </c>
      <c r="L610" s="3">
        <v>112424</v>
      </c>
      <c r="M610" s="3">
        <v>11111</v>
      </c>
      <c r="N610" s="3">
        <v>0</v>
      </c>
      <c r="O610" s="3">
        <v>1000</v>
      </c>
      <c r="P610" s="1" t="s">
        <v>2739</v>
      </c>
      <c r="Q610" s="3">
        <v>213190</v>
      </c>
      <c r="R610" s="25">
        <f t="shared" si="124"/>
        <v>1.4575100840910644</v>
      </c>
      <c r="S610" s="32">
        <f t="shared" si="125"/>
        <v>146270</v>
      </c>
      <c r="T610" s="3">
        <f t="shared" si="126"/>
        <v>0</v>
      </c>
      <c r="U610" s="1" t="s">
        <v>3615</v>
      </c>
      <c r="V610" s="16">
        <v>1</v>
      </c>
      <c r="W610" s="28">
        <f t="shared" si="119"/>
        <v>1</v>
      </c>
      <c r="X610" s="27">
        <f t="shared" si="127"/>
        <v>1</v>
      </c>
      <c r="Y610" s="18"/>
      <c r="Z610" s="19"/>
    </row>
    <row r="611" spans="1:26" x14ac:dyDescent="0.35">
      <c r="A611" s="29">
        <v>1</v>
      </c>
      <c r="B611" s="1" t="s">
        <v>3623</v>
      </c>
      <c r="C611" s="1"/>
      <c r="D611" s="1" t="s">
        <v>2720</v>
      </c>
      <c r="E611" s="1" t="s">
        <v>2721</v>
      </c>
      <c r="F611" s="1" t="s">
        <v>2722</v>
      </c>
      <c r="G611" s="5" t="s">
        <v>2723</v>
      </c>
      <c r="H611" s="1" t="s">
        <v>17</v>
      </c>
      <c r="I611" s="2">
        <v>46086</v>
      </c>
      <c r="J611" s="33">
        <f t="shared" si="123"/>
        <v>55053</v>
      </c>
      <c r="K611" s="3">
        <v>4133</v>
      </c>
      <c r="L611" s="3">
        <v>45753</v>
      </c>
      <c r="M611" s="3">
        <v>4167</v>
      </c>
      <c r="N611" s="3">
        <v>0</v>
      </c>
      <c r="O611" s="3">
        <v>1000</v>
      </c>
      <c r="P611" s="1" t="s">
        <v>2724</v>
      </c>
      <c r="Q611" s="3">
        <v>207605</v>
      </c>
      <c r="R611" s="25">
        <f t="shared" si="124"/>
        <v>3.7710024885110713</v>
      </c>
      <c r="S611" s="32">
        <f t="shared" si="125"/>
        <v>55053</v>
      </c>
      <c r="T611" s="3">
        <f t="shared" si="126"/>
        <v>0</v>
      </c>
      <c r="U611" s="1" t="s">
        <v>3615</v>
      </c>
      <c r="V611" s="16">
        <v>1</v>
      </c>
      <c r="W611" s="28">
        <f t="shared" si="119"/>
        <v>1</v>
      </c>
      <c r="X611" s="27">
        <f t="shared" si="127"/>
        <v>1</v>
      </c>
      <c r="Y611" s="18"/>
      <c r="Z611" s="19"/>
    </row>
    <row r="612" spans="1:26" x14ac:dyDescent="0.35">
      <c r="A612" s="29">
        <v>1</v>
      </c>
      <c r="B612" s="1" t="s">
        <v>3623</v>
      </c>
      <c r="C612" s="1"/>
      <c r="D612" s="1" t="s">
        <v>2850</v>
      </c>
      <c r="E612" s="1" t="s">
        <v>2851</v>
      </c>
      <c r="F612" s="1" t="s">
        <v>2852</v>
      </c>
      <c r="G612" s="5" t="s">
        <v>2853</v>
      </c>
      <c r="H612" s="1" t="s">
        <v>17</v>
      </c>
      <c r="I612" s="2">
        <v>46086</v>
      </c>
      <c r="J612" s="33">
        <f t="shared" si="123"/>
        <v>104668</v>
      </c>
      <c r="K612" s="3">
        <v>15502</v>
      </c>
      <c r="L612" s="3">
        <v>80166</v>
      </c>
      <c r="M612" s="3">
        <v>8000</v>
      </c>
      <c r="N612" s="3">
        <v>0</v>
      </c>
      <c r="O612" s="3">
        <v>1000</v>
      </c>
      <c r="P612" s="1" t="s">
        <v>2854</v>
      </c>
      <c r="Q612" s="3">
        <v>351146</v>
      </c>
      <c r="R612" s="25">
        <f t="shared" si="124"/>
        <v>3.3548553521611191</v>
      </c>
      <c r="S612" s="32">
        <f t="shared" si="125"/>
        <v>104668</v>
      </c>
      <c r="T612" s="3">
        <f t="shared" si="126"/>
        <v>0</v>
      </c>
      <c r="U612" s="1" t="s">
        <v>3615</v>
      </c>
      <c r="V612" s="16">
        <v>1</v>
      </c>
      <c r="W612" s="28">
        <f t="shared" si="119"/>
        <v>1</v>
      </c>
      <c r="X612" s="27">
        <f t="shared" si="127"/>
        <v>1</v>
      </c>
      <c r="Y612" s="18"/>
      <c r="Z612" s="19"/>
    </row>
    <row r="613" spans="1:26" x14ac:dyDescent="0.35">
      <c r="A613" s="29">
        <v>1</v>
      </c>
      <c r="B613" s="1" t="s">
        <v>3623</v>
      </c>
      <c r="C613" s="1"/>
      <c r="D613" s="1" t="s">
        <v>2769</v>
      </c>
      <c r="E613" s="1" t="s">
        <v>2770</v>
      </c>
      <c r="F613" s="1" t="s">
        <v>2771</v>
      </c>
      <c r="G613" s="5" t="s">
        <v>2772</v>
      </c>
      <c r="H613" s="1" t="s">
        <v>17</v>
      </c>
      <c r="I613" s="2">
        <v>46086</v>
      </c>
      <c r="J613" s="33">
        <f t="shared" si="123"/>
        <v>323882</v>
      </c>
      <c r="K613" s="3">
        <v>11998</v>
      </c>
      <c r="L613" s="3">
        <v>285884</v>
      </c>
      <c r="M613" s="3">
        <v>25000</v>
      </c>
      <c r="N613" s="3">
        <v>0</v>
      </c>
      <c r="O613" s="3">
        <v>1000</v>
      </c>
      <c r="P613" s="1" t="s">
        <v>2773</v>
      </c>
      <c r="Q613" s="3">
        <v>235233</v>
      </c>
      <c r="R613" s="25">
        <f t="shared" si="124"/>
        <v>0.72629229163707765</v>
      </c>
      <c r="S613" s="32">
        <f>Q613</f>
        <v>235233</v>
      </c>
      <c r="T613" s="31">
        <f t="shared" si="126"/>
        <v>-88649</v>
      </c>
      <c r="U613" s="1" t="s">
        <v>3616</v>
      </c>
      <c r="V613" s="16"/>
      <c r="W613" s="30">
        <f t="shared" si="119"/>
        <v>0</v>
      </c>
      <c r="X613" s="27">
        <f t="shared" si="127"/>
        <v>0.72629229163707765</v>
      </c>
      <c r="Y613" s="18"/>
      <c r="Z613" s="19"/>
    </row>
    <row r="614" spans="1:26" x14ac:dyDescent="0.35">
      <c r="A614" s="29">
        <v>1</v>
      </c>
      <c r="B614" s="1" t="s">
        <v>3623</v>
      </c>
      <c r="C614" s="1"/>
      <c r="D614" s="1" t="s">
        <v>2898</v>
      </c>
      <c r="E614" s="1" t="s">
        <v>2899</v>
      </c>
      <c r="F614" s="1" t="s">
        <v>2900</v>
      </c>
      <c r="G614" s="5" t="s">
        <v>2901</v>
      </c>
      <c r="H614" s="1" t="s">
        <v>17</v>
      </c>
      <c r="I614" s="2">
        <v>46086</v>
      </c>
      <c r="J614" s="33">
        <f t="shared" si="123"/>
        <v>108627</v>
      </c>
      <c r="K614" s="3">
        <v>10268</v>
      </c>
      <c r="L614" s="3">
        <v>89026</v>
      </c>
      <c r="M614" s="3">
        <v>8333</v>
      </c>
      <c r="N614" s="3">
        <v>0</v>
      </c>
      <c r="O614" s="3">
        <v>1000</v>
      </c>
      <c r="P614" s="1" t="s">
        <v>2902</v>
      </c>
      <c r="Q614" s="3">
        <v>252486</v>
      </c>
      <c r="R614" s="25">
        <f t="shared" si="124"/>
        <v>2.3243392526719875</v>
      </c>
      <c r="S614" s="32">
        <f>J614</f>
        <v>108627</v>
      </c>
      <c r="T614" s="3">
        <f t="shared" si="126"/>
        <v>0</v>
      </c>
      <c r="U614" s="1" t="s">
        <v>3615</v>
      </c>
      <c r="V614" s="16">
        <v>1</v>
      </c>
      <c r="W614" s="28">
        <f t="shared" si="119"/>
        <v>1</v>
      </c>
      <c r="X614" s="27">
        <f t="shared" si="127"/>
        <v>1</v>
      </c>
      <c r="Y614" s="18"/>
      <c r="Z614" s="19"/>
    </row>
    <row r="615" spans="1:26" x14ac:dyDescent="0.35">
      <c r="A615" s="29">
        <v>1</v>
      </c>
      <c r="B615" s="1" t="s">
        <v>3623</v>
      </c>
      <c r="C615" s="1"/>
      <c r="D615" s="1" t="s">
        <v>2893</v>
      </c>
      <c r="E615" s="1" t="s">
        <v>2894</v>
      </c>
      <c r="F615" s="1" t="s">
        <v>2895</v>
      </c>
      <c r="G615" s="5" t="s">
        <v>2896</v>
      </c>
      <c r="H615" s="1" t="s">
        <v>17</v>
      </c>
      <c r="I615" s="2">
        <v>46086</v>
      </c>
      <c r="J615" s="33">
        <f t="shared" si="123"/>
        <v>162441</v>
      </c>
      <c r="K615" s="3">
        <v>13571</v>
      </c>
      <c r="L615" s="3">
        <v>135370</v>
      </c>
      <c r="M615" s="3">
        <v>12500</v>
      </c>
      <c r="N615" s="3">
        <v>0</v>
      </c>
      <c r="O615" s="3">
        <v>1000</v>
      </c>
      <c r="P615" s="1" t="s">
        <v>2897</v>
      </c>
      <c r="Q615" s="3">
        <v>61941</v>
      </c>
      <c r="R615" s="25">
        <f t="shared" si="124"/>
        <v>0.38131383086782278</v>
      </c>
      <c r="S615" s="32">
        <f>Q615</f>
        <v>61941</v>
      </c>
      <c r="T615" s="31">
        <f t="shared" si="126"/>
        <v>-100500</v>
      </c>
      <c r="U615" s="1" t="s">
        <v>3616</v>
      </c>
      <c r="V615" s="16"/>
      <c r="W615" s="30">
        <f t="shared" si="119"/>
        <v>0</v>
      </c>
      <c r="X615" s="27">
        <f t="shared" si="127"/>
        <v>0.38131383086782278</v>
      </c>
      <c r="Y615" s="18"/>
      <c r="Z615" s="19"/>
    </row>
    <row r="616" spans="1:26" x14ac:dyDescent="0.35">
      <c r="A616" s="29">
        <v>1</v>
      </c>
      <c r="B616" s="1" t="s">
        <v>3623</v>
      </c>
      <c r="C616" s="1"/>
      <c r="D616" s="1" t="s">
        <v>2928</v>
      </c>
      <c r="E616" s="1" t="s">
        <v>2929</v>
      </c>
      <c r="F616" s="1" t="s">
        <v>2930</v>
      </c>
      <c r="G616" s="5" t="s">
        <v>2931</v>
      </c>
      <c r="H616" s="1" t="s">
        <v>17</v>
      </c>
      <c r="I616" s="2">
        <v>46086</v>
      </c>
      <c r="J616" s="33">
        <f t="shared" si="123"/>
        <v>108627</v>
      </c>
      <c r="K616" s="3">
        <v>12648</v>
      </c>
      <c r="L616" s="3">
        <v>86646</v>
      </c>
      <c r="M616" s="3">
        <v>8333</v>
      </c>
      <c r="N616" s="3">
        <v>0</v>
      </c>
      <c r="O616" s="3">
        <v>1000</v>
      </c>
      <c r="P616" s="1" t="s">
        <v>2932</v>
      </c>
      <c r="Q616" s="3">
        <v>291009</v>
      </c>
      <c r="R616" s="25">
        <f t="shared" si="124"/>
        <v>2.6789748405092655</v>
      </c>
      <c r="S616" s="32">
        <f t="shared" ref="S616:S622" si="128">J616</f>
        <v>108627</v>
      </c>
      <c r="T616" s="3">
        <f t="shared" si="126"/>
        <v>0</v>
      </c>
      <c r="U616" s="1" t="s">
        <v>3615</v>
      </c>
      <c r="V616" s="16">
        <v>1</v>
      </c>
      <c r="W616" s="28">
        <f t="shared" si="119"/>
        <v>1</v>
      </c>
      <c r="X616" s="27">
        <f t="shared" si="127"/>
        <v>1</v>
      </c>
      <c r="Y616" s="18"/>
      <c r="Z616" s="19"/>
    </row>
    <row r="617" spans="1:26" x14ac:dyDescent="0.35">
      <c r="A617" s="29">
        <v>1</v>
      </c>
      <c r="B617" s="1" t="s">
        <v>3623</v>
      </c>
      <c r="C617" s="1"/>
      <c r="D617" s="1" t="s">
        <v>2835</v>
      </c>
      <c r="E617" s="1" t="s">
        <v>2836</v>
      </c>
      <c r="F617" s="1" t="s">
        <v>2837</v>
      </c>
      <c r="G617" s="5" t="s">
        <v>2838</v>
      </c>
      <c r="H617" s="1" t="s">
        <v>17</v>
      </c>
      <c r="I617" s="2">
        <v>46086</v>
      </c>
      <c r="J617" s="33">
        <f t="shared" si="123"/>
        <v>130585</v>
      </c>
      <c r="K617" s="3">
        <v>19378</v>
      </c>
      <c r="L617" s="3">
        <v>100207</v>
      </c>
      <c r="M617" s="3">
        <v>10000</v>
      </c>
      <c r="N617" s="3">
        <v>0</v>
      </c>
      <c r="O617" s="3">
        <v>1000</v>
      </c>
      <c r="P617" s="1" t="s">
        <v>2839</v>
      </c>
      <c r="Q617" s="3">
        <v>588977</v>
      </c>
      <c r="R617" s="25">
        <f t="shared" si="124"/>
        <v>4.5102959758012027</v>
      </c>
      <c r="S617" s="32">
        <f t="shared" si="128"/>
        <v>130585</v>
      </c>
      <c r="T617" s="3">
        <f t="shared" si="126"/>
        <v>0</v>
      </c>
      <c r="U617" s="1" t="s">
        <v>3615</v>
      </c>
      <c r="V617" s="16">
        <v>1</v>
      </c>
      <c r="W617" s="28">
        <f t="shared" si="119"/>
        <v>1</v>
      </c>
      <c r="X617" s="27">
        <f t="shared" si="127"/>
        <v>1</v>
      </c>
      <c r="Y617" s="18"/>
      <c r="Z617" s="19"/>
    </row>
    <row r="618" spans="1:26" x14ac:dyDescent="0.35">
      <c r="A618" s="29">
        <v>1</v>
      </c>
      <c r="B618" s="1" t="s">
        <v>3623</v>
      </c>
      <c r="C618" s="1"/>
      <c r="D618" s="1" t="s">
        <v>2938</v>
      </c>
      <c r="E618" s="1" t="s">
        <v>2939</v>
      </c>
      <c r="F618" s="1" t="s">
        <v>2940</v>
      </c>
      <c r="G618" s="5" t="s">
        <v>2941</v>
      </c>
      <c r="H618" s="1" t="s">
        <v>17</v>
      </c>
      <c r="I618" s="2">
        <v>46086</v>
      </c>
      <c r="J618" s="33">
        <f t="shared" si="123"/>
        <v>76339</v>
      </c>
      <c r="K618" s="3">
        <v>6333</v>
      </c>
      <c r="L618" s="3">
        <v>63173</v>
      </c>
      <c r="M618" s="3">
        <v>5833</v>
      </c>
      <c r="N618" s="3">
        <v>0</v>
      </c>
      <c r="O618" s="3">
        <v>1000</v>
      </c>
      <c r="P618" s="1" t="s">
        <v>2942</v>
      </c>
      <c r="Q618" s="3">
        <v>224899</v>
      </c>
      <c r="R618" s="25">
        <f t="shared" si="124"/>
        <v>2.9460564062929828</v>
      </c>
      <c r="S618" s="32">
        <f t="shared" si="128"/>
        <v>76339</v>
      </c>
      <c r="T618" s="3">
        <f t="shared" si="126"/>
        <v>0</v>
      </c>
      <c r="U618" s="1" t="s">
        <v>3615</v>
      </c>
      <c r="V618" s="16">
        <v>1</v>
      </c>
      <c r="W618" s="28">
        <f t="shared" si="119"/>
        <v>1</v>
      </c>
      <c r="X618" s="27">
        <f t="shared" si="127"/>
        <v>1</v>
      </c>
      <c r="Y618" s="18"/>
      <c r="Z618" s="19"/>
    </row>
    <row r="619" spans="1:26" x14ac:dyDescent="0.35">
      <c r="A619" s="29">
        <v>1</v>
      </c>
      <c r="B619" s="1" t="s">
        <v>3623</v>
      </c>
      <c r="C619" s="1"/>
      <c r="D619" s="1" t="s">
        <v>2943</v>
      </c>
      <c r="E619" s="1" t="s">
        <v>2944</v>
      </c>
      <c r="F619" s="1" t="s">
        <v>2945</v>
      </c>
      <c r="G619" s="5" t="s">
        <v>2946</v>
      </c>
      <c r="H619" s="1" t="s">
        <v>17</v>
      </c>
      <c r="I619" s="2">
        <v>46086</v>
      </c>
      <c r="J619" s="33">
        <f t="shared" si="123"/>
        <v>44195</v>
      </c>
      <c r="K619" s="3">
        <v>5545</v>
      </c>
      <c r="L619" s="3">
        <v>34317</v>
      </c>
      <c r="M619" s="3">
        <v>3333</v>
      </c>
      <c r="N619" s="3">
        <v>0</v>
      </c>
      <c r="O619" s="3">
        <v>1000</v>
      </c>
      <c r="P619" s="1" t="s">
        <v>2947</v>
      </c>
      <c r="Q619" s="3">
        <v>95445</v>
      </c>
      <c r="R619" s="25">
        <f t="shared" si="124"/>
        <v>2.1596334426971375</v>
      </c>
      <c r="S619" s="32">
        <f t="shared" si="128"/>
        <v>44195</v>
      </c>
      <c r="T619" s="3">
        <f t="shared" si="126"/>
        <v>0</v>
      </c>
      <c r="U619" s="1" t="s">
        <v>3615</v>
      </c>
      <c r="V619" s="16">
        <v>1</v>
      </c>
      <c r="W619" s="28">
        <f t="shared" si="119"/>
        <v>1</v>
      </c>
      <c r="X619" s="27">
        <f t="shared" si="127"/>
        <v>1</v>
      </c>
      <c r="Y619" s="18"/>
      <c r="Z619" s="19"/>
    </row>
    <row r="620" spans="1:26" x14ac:dyDescent="0.35">
      <c r="A620" s="29">
        <v>1</v>
      </c>
      <c r="B620" s="1" t="s">
        <v>3623</v>
      </c>
      <c r="C620" s="1"/>
      <c r="D620" s="1" t="s">
        <v>2914</v>
      </c>
      <c r="E620" s="1" t="s">
        <v>2915</v>
      </c>
      <c r="F620" s="1" t="s">
        <v>2916</v>
      </c>
      <c r="G620" s="5" t="s">
        <v>2917</v>
      </c>
      <c r="H620" s="1" t="s">
        <v>17</v>
      </c>
      <c r="I620" s="2">
        <v>46086</v>
      </c>
      <c r="J620" s="33">
        <f t="shared" si="123"/>
        <v>87390</v>
      </c>
      <c r="K620" s="3">
        <v>11091</v>
      </c>
      <c r="L620" s="3">
        <v>68632</v>
      </c>
      <c r="M620" s="3">
        <v>6667</v>
      </c>
      <c r="N620" s="3">
        <v>0</v>
      </c>
      <c r="O620" s="3">
        <v>1000</v>
      </c>
      <c r="P620" s="1" t="s">
        <v>2918</v>
      </c>
      <c r="Q620" s="3">
        <v>122958</v>
      </c>
      <c r="R620" s="25">
        <f t="shared" si="124"/>
        <v>1.4070030895983523</v>
      </c>
      <c r="S620" s="32">
        <f t="shared" si="128"/>
        <v>87390</v>
      </c>
      <c r="T620" s="3">
        <f t="shared" si="126"/>
        <v>0</v>
      </c>
      <c r="U620" s="1" t="s">
        <v>3615</v>
      </c>
      <c r="V620" s="16">
        <v>1</v>
      </c>
      <c r="W620" s="28">
        <f t="shared" si="119"/>
        <v>1</v>
      </c>
      <c r="X620" s="27">
        <f t="shared" si="127"/>
        <v>1</v>
      </c>
      <c r="Y620" s="18"/>
      <c r="Z620" s="19"/>
    </row>
    <row r="621" spans="1:26" x14ac:dyDescent="0.35">
      <c r="A621" s="29">
        <v>1</v>
      </c>
      <c r="B621" s="1" t="s">
        <v>3623</v>
      </c>
      <c r="C621" s="1"/>
      <c r="D621" s="1" t="s">
        <v>2933</v>
      </c>
      <c r="E621" s="1" t="s">
        <v>2934</v>
      </c>
      <c r="F621" s="1" t="s">
        <v>2935</v>
      </c>
      <c r="G621" s="5" t="s">
        <v>2936</v>
      </c>
      <c r="H621" s="1" t="s">
        <v>17</v>
      </c>
      <c r="I621" s="2">
        <v>46086</v>
      </c>
      <c r="J621" s="33">
        <f t="shared" si="123"/>
        <v>54814</v>
      </c>
      <c r="K621" s="3">
        <v>6324</v>
      </c>
      <c r="L621" s="3">
        <v>43323</v>
      </c>
      <c r="M621" s="3">
        <v>4167</v>
      </c>
      <c r="N621" s="3">
        <v>0</v>
      </c>
      <c r="O621" s="3">
        <v>1000</v>
      </c>
      <c r="P621" s="1" t="s">
        <v>2937</v>
      </c>
      <c r="Q621" s="3">
        <v>162394</v>
      </c>
      <c r="R621" s="25">
        <f t="shared" si="124"/>
        <v>2.9626372824460905</v>
      </c>
      <c r="S621" s="32">
        <f t="shared" si="128"/>
        <v>54814</v>
      </c>
      <c r="T621" s="3">
        <f t="shared" si="126"/>
        <v>0</v>
      </c>
      <c r="U621" s="1" t="s">
        <v>3615</v>
      </c>
      <c r="V621" s="16">
        <v>1</v>
      </c>
      <c r="W621" s="28">
        <f t="shared" si="119"/>
        <v>1</v>
      </c>
      <c r="X621" s="27">
        <f t="shared" si="127"/>
        <v>1</v>
      </c>
      <c r="Y621" s="18"/>
      <c r="Z621" s="19"/>
    </row>
    <row r="622" spans="1:26" x14ac:dyDescent="0.35">
      <c r="A622" s="29">
        <v>1</v>
      </c>
      <c r="B622" s="1" t="s">
        <v>3623</v>
      </c>
      <c r="C622" s="1"/>
      <c r="D622" s="1" t="s">
        <v>2874</v>
      </c>
      <c r="E622" s="1" t="s">
        <v>2875</v>
      </c>
      <c r="F622" s="1" t="s">
        <v>2876</v>
      </c>
      <c r="G622" s="5" t="s">
        <v>2877</v>
      </c>
      <c r="H622" s="1" t="s">
        <v>17</v>
      </c>
      <c r="I622" s="2">
        <v>46086</v>
      </c>
      <c r="J622" s="33">
        <f t="shared" si="123"/>
        <v>60457</v>
      </c>
      <c r="K622" s="3">
        <v>4547</v>
      </c>
      <c r="L622" s="3">
        <v>50327</v>
      </c>
      <c r="M622" s="3">
        <v>4583</v>
      </c>
      <c r="N622" s="3">
        <v>0</v>
      </c>
      <c r="O622" s="3">
        <v>1000</v>
      </c>
      <c r="P622" s="1" t="s">
        <v>2878</v>
      </c>
      <c r="Q622" s="3">
        <v>109966</v>
      </c>
      <c r="R622" s="25">
        <f t="shared" si="124"/>
        <v>1.8189126155780142</v>
      </c>
      <c r="S622" s="32">
        <f t="shared" si="128"/>
        <v>60457</v>
      </c>
      <c r="T622" s="3">
        <f t="shared" si="126"/>
        <v>0</v>
      </c>
      <c r="U622" s="1" t="s">
        <v>3615</v>
      </c>
      <c r="V622" s="16">
        <v>1</v>
      </c>
      <c r="W622" s="28">
        <f t="shared" si="119"/>
        <v>1</v>
      </c>
      <c r="X622" s="27">
        <f t="shared" si="127"/>
        <v>1</v>
      </c>
      <c r="Y622" s="18"/>
      <c r="Z622" s="19"/>
    </row>
    <row r="623" spans="1:26" x14ac:dyDescent="0.35">
      <c r="A623" s="29">
        <v>1</v>
      </c>
      <c r="B623" s="1" t="s">
        <v>3623</v>
      </c>
      <c r="C623" s="1"/>
      <c r="D623" s="1" t="s">
        <v>2864</v>
      </c>
      <c r="E623" s="1" t="s">
        <v>2865</v>
      </c>
      <c r="F623" s="1" t="s">
        <v>2866</v>
      </c>
      <c r="G623" s="5" t="s">
        <v>2867</v>
      </c>
      <c r="H623" s="1" t="s">
        <v>17</v>
      </c>
      <c r="I623" s="2">
        <v>46086</v>
      </c>
      <c r="J623" s="33">
        <f t="shared" si="123"/>
        <v>541524</v>
      </c>
      <c r="K623" s="3">
        <v>27951</v>
      </c>
      <c r="L623" s="3">
        <v>470906</v>
      </c>
      <c r="M623" s="3">
        <v>41667</v>
      </c>
      <c r="N623" s="3">
        <v>0</v>
      </c>
      <c r="O623" s="3">
        <v>1000</v>
      </c>
      <c r="P623" s="1" t="s">
        <v>2868</v>
      </c>
      <c r="Q623" s="3">
        <v>195565</v>
      </c>
      <c r="R623" s="25">
        <f t="shared" si="124"/>
        <v>0.36113819516771184</v>
      </c>
      <c r="S623" s="32">
        <f>Q623</f>
        <v>195565</v>
      </c>
      <c r="T623" s="31">
        <f t="shared" si="126"/>
        <v>-345959</v>
      </c>
      <c r="U623" s="1" t="s">
        <v>3616</v>
      </c>
      <c r="V623" s="16"/>
      <c r="W623" s="30">
        <f t="shared" si="119"/>
        <v>0</v>
      </c>
      <c r="X623" s="27">
        <f t="shared" si="127"/>
        <v>0.36113819516771184</v>
      </c>
      <c r="Y623" s="18"/>
      <c r="Z623" s="19"/>
    </row>
    <row r="624" spans="1:26" x14ac:dyDescent="0.35">
      <c r="A624" s="29">
        <v>1</v>
      </c>
      <c r="B624" s="1" t="s">
        <v>3623</v>
      </c>
      <c r="C624" s="1"/>
      <c r="D624" s="1" t="s">
        <v>2799</v>
      </c>
      <c r="E624" s="1" t="s">
        <v>2800</v>
      </c>
      <c r="F624" s="1" t="s">
        <v>2801</v>
      </c>
      <c r="G624" s="5" t="s">
        <v>2802</v>
      </c>
      <c r="H624" s="1" t="s">
        <v>17</v>
      </c>
      <c r="I624" s="2">
        <v>46086</v>
      </c>
      <c r="J624" s="33">
        <f t="shared" si="123"/>
        <v>146270</v>
      </c>
      <c r="K624" s="3">
        <v>21735</v>
      </c>
      <c r="L624" s="3">
        <v>112424</v>
      </c>
      <c r="M624" s="3">
        <v>11111</v>
      </c>
      <c r="N624" s="3">
        <v>0</v>
      </c>
      <c r="O624" s="3">
        <v>1000</v>
      </c>
      <c r="P624" s="1" t="s">
        <v>2803</v>
      </c>
      <c r="Q624" s="3">
        <v>1355284</v>
      </c>
      <c r="R624" s="25">
        <f t="shared" si="124"/>
        <v>9.2656320503179046</v>
      </c>
      <c r="S624" s="32">
        <f t="shared" ref="S624:S630" si="129">J624</f>
        <v>146270</v>
      </c>
      <c r="T624" s="3">
        <f t="shared" si="126"/>
        <v>0</v>
      </c>
      <c r="U624" s="1" t="s">
        <v>3615</v>
      </c>
      <c r="V624" s="16">
        <v>1</v>
      </c>
      <c r="W624" s="28">
        <f t="shared" si="119"/>
        <v>1</v>
      </c>
      <c r="X624" s="27">
        <f t="shared" si="127"/>
        <v>1</v>
      </c>
      <c r="Y624" s="18"/>
      <c r="Z624" s="19"/>
    </row>
    <row r="625" spans="1:26" x14ac:dyDescent="0.35">
      <c r="A625" s="29">
        <v>1</v>
      </c>
      <c r="B625" s="1" t="s">
        <v>3623</v>
      </c>
      <c r="C625" s="1"/>
      <c r="D625" s="1" t="s">
        <v>2688</v>
      </c>
      <c r="E625" s="1" t="s">
        <v>2689</v>
      </c>
      <c r="F625" s="1" t="s">
        <v>2690</v>
      </c>
      <c r="G625" s="5" t="s">
        <v>2691</v>
      </c>
      <c r="H625" s="1" t="s">
        <v>17</v>
      </c>
      <c r="I625" s="2">
        <v>46086</v>
      </c>
      <c r="J625" s="33">
        <f t="shared" si="123"/>
        <v>76339</v>
      </c>
      <c r="K625" s="3">
        <v>2800</v>
      </c>
      <c r="L625" s="3">
        <v>66706</v>
      </c>
      <c r="M625" s="3">
        <v>5833</v>
      </c>
      <c r="N625" s="3">
        <v>0</v>
      </c>
      <c r="O625" s="3">
        <v>1000</v>
      </c>
      <c r="P625" s="1" t="s">
        <v>2692</v>
      </c>
      <c r="Q625" s="3">
        <v>165161</v>
      </c>
      <c r="R625" s="25">
        <f t="shared" si="124"/>
        <v>2.1635206120069688</v>
      </c>
      <c r="S625" s="32">
        <f t="shared" si="129"/>
        <v>76339</v>
      </c>
      <c r="T625" s="3">
        <f t="shared" si="126"/>
        <v>0</v>
      </c>
      <c r="U625" s="1" t="s">
        <v>3615</v>
      </c>
      <c r="V625" s="16">
        <v>1</v>
      </c>
      <c r="W625" s="28">
        <f t="shared" si="119"/>
        <v>1</v>
      </c>
      <c r="X625" s="27">
        <f t="shared" si="127"/>
        <v>1</v>
      </c>
      <c r="Y625" s="18"/>
      <c r="Z625" s="19"/>
    </row>
    <row r="626" spans="1:26" x14ac:dyDescent="0.35">
      <c r="A626" s="29">
        <v>1</v>
      </c>
      <c r="B626" s="1" t="s">
        <v>3623</v>
      </c>
      <c r="C626" s="1"/>
      <c r="D626" s="1" t="s">
        <v>2919</v>
      </c>
      <c r="E626" s="1" t="s">
        <v>2920</v>
      </c>
      <c r="F626" s="1" t="s">
        <v>2921</v>
      </c>
      <c r="G626" s="5" t="s">
        <v>2922</v>
      </c>
      <c r="H626" s="1" t="s">
        <v>467</v>
      </c>
      <c r="I626" s="2">
        <v>46086</v>
      </c>
      <c r="J626" s="33">
        <f t="shared" si="123"/>
        <v>59608</v>
      </c>
      <c r="K626" s="3">
        <v>3379</v>
      </c>
      <c r="L626" s="3">
        <v>55229</v>
      </c>
      <c r="M626" s="3">
        <v>0</v>
      </c>
      <c r="N626" s="3">
        <v>0</v>
      </c>
      <c r="O626" s="3">
        <v>1000</v>
      </c>
      <c r="P626" s="1" t="s">
        <v>2923</v>
      </c>
      <c r="Q626" s="3">
        <v>162855</v>
      </c>
      <c r="R626" s="25">
        <f t="shared" si="124"/>
        <v>2.7320997181586364</v>
      </c>
      <c r="S626" s="32">
        <f t="shared" si="129"/>
        <v>59608</v>
      </c>
      <c r="T626" s="3">
        <f t="shared" si="126"/>
        <v>0</v>
      </c>
      <c r="U626" s="1" t="s">
        <v>3615</v>
      </c>
      <c r="V626" s="16">
        <v>1</v>
      </c>
      <c r="W626" s="28">
        <f t="shared" si="119"/>
        <v>1</v>
      </c>
      <c r="X626" s="27">
        <f t="shared" si="127"/>
        <v>1</v>
      </c>
      <c r="Y626" s="18"/>
      <c r="Z626" s="19"/>
    </row>
    <row r="627" spans="1:26" x14ac:dyDescent="0.35">
      <c r="A627" s="29">
        <v>1</v>
      </c>
      <c r="B627" s="1" t="s">
        <v>3623</v>
      </c>
      <c r="C627" s="1"/>
      <c r="D627" s="1" t="s">
        <v>2764</v>
      </c>
      <c r="E627" s="1" t="s">
        <v>2765</v>
      </c>
      <c r="F627" s="1" t="s">
        <v>2766</v>
      </c>
      <c r="G627" s="5" t="s">
        <v>2767</v>
      </c>
      <c r="H627" s="1" t="s">
        <v>32</v>
      </c>
      <c r="I627" s="2">
        <v>46086</v>
      </c>
      <c r="J627" s="33">
        <f t="shared" si="123"/>
        <v>147224</v>
      </c>
      <c r="K627" s="3">
        <v>16418</v>
      </c>
      <c r="L627" s="3">
        <v>118695</v>
      </c>
      <c r="M627" s="3">
        <v>11111</v>
      </c>
      <c r="N627" s="3">
        <v>0</v>
      </c>
      <c r="O627" s="3">
        <v>1000</v>
      </c>
      <c r="P627" s="1" t="s">
        <v>2768</v>
      </c>
      <c r="Q627" s="3">
        <v>387204</v>
      </c>
      <c r="R627" s="25">
        <f t="shared" si="124"/>
        <v>2.6300331467695486</v>
      </c>
      <c r="S627" s="32">
        <f t="shared" si="129"/>
        <v>147224</v>
      </c>
      <c r="T627" s="3">
        <f t="shared" si="126"/>
        <v>0</v>
      </c>
      <c r="U627" s="1" t="s">
        <v>3615</v>
      </c>
      <c r="V627" s="16">
        <v>1</v>
      </c>
      <c r="W627" s="28">
        <f t="shared" si="119"/>
        <v>1</v>
      </c>
      <c r="X627" s="27">
        <f t="shared" si="127"/>
        <v>1</v>
      </c>
      <c r="Y627" s="18"/>
      <c r="Z627" s="19"/>
    </row>
    <row r="628" spans="1:26" x14ac:dyDescent="0.35">
      <c r="A628" s="29">
        <v>1</v>
      </c>
      <c r="B628" s="1" t="s">
        <v>3623</v>
      </c>
      <c r="C628" s="1"/>
      <c r="D628" s="1" t="s">
        <v>2759</v>
      </c>
      <c r="E628" s="1" t="s">
        <v>2760</v>
      </c>
      <c r="F628" s="1" t="s">
        <v>2761</v>
      </c>
      <c r="G628" s="5" t="s">
        <v>2762</v>
      </c>
      <c r="H628" s="1" t="s">
        <v>17</v>
      </c>
      <c r="I628" s="2">
        <v>46086</v>
      </c>
      <c r="J628" s="33">
        <f t="shared" si="123"/>
        <v>218906</v>
      </c>
      <c r="K628" s="3">
        <v>39279</v>
      </c>
      <c r="L628" s="3">
        <v>161960</v>
      </c>
      <c r="M628" s="3">
        <v>16667</v>
      </c>
      <c r="N628" s="3">
        <v>0</v>
      </c>
      <c r="O628" s="3">
        <v>1000</v>
      </c>
      <c r="P628" s="1" t="s">
        <v>2763</v>
      </c>
      <c r="Q628" s="3">
        <v>611426</v>
      </c>
      <c r="R628" s="25">
        <f t="shared" si="124"/>
        <v>2.7930984075356546</v>
      </c>
      <c r="S628" s="32">
        <f t="shared" si="129"/>
        <v>218906</v>
      </c>
      <c r="T628" s="3">
        <f t="shared" si="126"/>
        <v>0</v>
      </c>
      <c r="U628" s="1" t="s">
        <v>3615</v>
      </c>
      <c r="V628" s="16">
        <v>1</v>
      </c>
      <c r="W628" s="28">
        <f t="shared" si="119"/>
        <v>1</v>
      </c>
      <c r="X628" s="27">
        <f t="shared" si="127"/>
        <v>1</v>
      </c>
      <c r="Y628" s="18"/>
      <c r="Z628" s="19"/>
    </row>
    <row r="629" spans="1:26" x14ac:dyDescent="0.35">
      <c r="A629" s="29">
        <v>1</v>
      </c>
      <c r="B629" s="1" t="s">
        <v>3623</v>
      </c>
      <c r="C629" s="1"/>
      <c r="D629" s="1" t="s">
        <v>2978</v>
      </c>
      <c r="E629" s="1" t="s">
        <v>2979</v>
      </c>
      <c r="F629" s="1" t="s">
        <v>2980</v>
      </c>
      <c r="G629" s="5" t="s">
        <v>2981</v>
      </c>
      <c r="H629" s="1" t="s">
        <v>17</v>
      </c>
      <c r="I629" s="2">
        <v>46086</v>
      </c>
      <c r="J629" s="33">
        <f t="shared" si="123"/>
        <v>33288</v>
      </c>
      <c r="K629" s="3">
        <v>3080</v>
      </c>
      <c r="L629" s="3">
        <v>26708</v>
      </c>
      <c r="M629" s="3">
        <v>2500</v>
      </c>
      <c r="N629" s="3">
        <v>0</v>
      </c>
      <c r="O629" s="3">
        <v>1000</v>
      </c>
      <c r="P629" s="1" t="s">
        <v>2982</v>
      </c>
      <c r="Q629" s="3">
        <v>52539</v>
      </c>
      <c r="R629" s="25">
        <f t="shared" si="124"/>
        <v>1.5783165104542178</v>
      </c>
      <c r="S629" s="32">
        <f t="shared" si="129"/>
        <v>33288</v>
      </c>
      <c r="T629" s="3">
        <f t="shared" si="126"/>
        <v>0</v>
      </c>
      <c r="U629" s="1" t="s">
        <v>3615</v>
      </c>
      <c r="V629" s="16">
        <v>1</v>
      </c>
      <c r="W629" s="28">
        <f t="shared" si="119"/>
        <v>1</v>
      </c>
      <c r="X629" s="27">
        <f t="shared" si="127"/>
        <v>1</v>
      </c>
      <c r="Y629" s="18"/>
      <c r="Z629" s="19"/>
    </row>
    <row r="630" spans="1:26" x14ac:dyDescent="0.35">
      <c r="A630" s="29">
        <v>1</v>
      </c>
      <c r="B630" s="1" t="s">
        <v>3623</v>
      </c>
      <c r="C630" s="1"/>
      <c r="D630" s="1" t="s">
        <v>2725</v>
      </c>
      <c r="E630" s="1" t="s">
        <v>2726</v>
      </c>
      <c r="F630" s="1" t="s">
        <v>2727</v>
      </c>
      <c r="G630" s="5" t="s">
        <v>2728</v>
      </c>
      <c r="H630" s="1" t="s">
        <v>17</v>
      </c>
      <c r="I630" s="2">
        <v>46086</v>
      </c>
      <c r="J630" s="33">
        <f t="shared" si="123"/>
        <v>503450</v>
      </c>
      <c r="K630" s="3">
        <v>44521</v>
      </c>
      <c r="L630" s="3">
        <v>416262</v>
      </c>
      <c r="M630" s="3">
        <v>41667</v>
      </c>
      <c r="N630" s="3">
        <v>0</v>
      </c>
      <c r="O630" s="3">
        <v>1000</v>
      </c>
      <c r="P630" s="1" t="s">
        <v>2729</v>
      </c>
      <c r="Q630" s="3">
        <v>1481237</v>
      </c>
      <c r="R630" s="25">
        <f t="shared" si="124"/>
        <v>2.9421730062568279</v>
      </c>
      <c r="S630" s="32">
        <f t="shared" si="129"/>
        <v>503450</v>
      </c>
      <c r="T630" s="3">
        <f t="shared" si="126"/>
        <v>0</v>
      </c>
      <c r="U630" s="1" t="s">
        <v>3615</v>
      </c>
      <c r="V630" s="16">
        <v>1</v>
      </c>
      <c r="W630" s="28">
        <f t="shared" si="119"/>
        <v>1</v>
      </c>
      <c r="X630" s="27">
        <f t="shared" si="127"/>
        <v>1</v>
      </c>
      <c r="Y630" s="18"/>
      <c r="Z630" s="19"/>
    </row>
    <row r="631" spans="1:26" x14ac:dyDescent="0.35">
      <c r="A631" s="29">
        <v>1</v>
      </c>
      <c r="B631" s="1" t="s">
        <v>3623</v>
      </c>
      <c r="C631" s="1"/>
      <c r="D631" s="1" t="s">
        <v>2879</v>
      </c>
      <c r="E631" s="1" t="s">
        <v>2880</v>
      </c>
      <c r="F631" s="1" t="s">
        <v>2881</v>
      </c>
      <c r="G631" s="5" t="s">
        <v>2882</v>
      </c>
      <c r="H631" s="1" t="s">
        <v>17</v>
      </c>
      <c r="I631" s="2">
        <v>46086</v>
      </c>
      <c r="J631" s="33">
        <f t="shared" si="123"/>
        <v>163157</v>
      </c>
      <c r="K631" s="3">
        <v>14347</v>
      </c>
      <c r="L631" s="3">
        <v>135310</v>
      </c>
      <c r="M631" s="3">
        <v>12500</v>
      </c>
      <c r="N631" s="3">
        <v>0</v>
      </c>
      <c r="O631" s="3">
        <v>1000</v>
      </c>
      <c r="P631" s="1" t="s">
        <v>2883</v>
      </c>
      <c r="Q631" s="3">
        <v>105764</v>
      </c>
      <c r="R631" s="25">
        <f t="shared" si="124"/>
        <v>0.64823452257641412</v>
      </c>
      <c r="S631" s="32">
        <f>Q631</f>
        <v>105764</v>
      </c>
      <c r="T631" s="31">
        <f t="shared" si="126"/>
        <v>-57393</v>
      </c>
      <c r="U631" s="1" t="s">
        <v>3616</v>
      </c>
      <c r="V631" s="16"/>
      <c r="W631" s="30">
        <f t="shared" si="119"/>
        <v>0</v>
      </c>
      <c r="X631" s="27">
        <f t="shared" si="127"/>
        <v>0.64823452257641412</v>
      </c>
      <c r="Y631" s="18"/>
      <c r="Z631" s="19"/>
    </row>
    <row r="632" spans="1:26" x14ac:dyDescent="0.35">
      <c r="A632" s="29">
        <v>1</v>
      </c>
      <c r="B632" s="1" t="s">
        <v>3623</v>
      </c>
      <c r="C632" s="1"/>
      <c r="D632" s="1" t="s">
        <v>2840</v>
      </c>
      <c r="E632" s="1" t="s">
        <v>2841</v>
      </c>
      <c r="F632" s="1" t="s">
        <v>2842</v>
      </c>
      <c r="G632" s="5" t="s">
        <v>2843</v>
      </c>
      <c r="H632" s="1" t="s">
        <v>17</v>
      </c>
      <c r="I632" s="2">
        <v>46086</v>
      </c>
      <c r="J632" s="33">
        <f t="shared" ref="J632:J663" si="130">SUM(K632:O632)</f>
        <v>54814</v>
      </c>
      <c r="K632" s="3">
        <v>6324</v>
      </c>
      <c r="L632" s="3">
        <v>43323</v>
      </c>
      <c r="M632" s="3">
        <v>4167</v>
      </c>
      <c r="N632" s="3">
        <v>0</v>
      </c>
      <c r="O632" s="3">
        <v>1000</v>
      </c>
      <c r="P632" s="1" t="s">
        <v>2844</v>
      </c>
      <c r="Q632" s="3">
        <v>168887</v>
      </c>
      <c r="R632" s="25">
        <f t="shared" ref="R632:R663" si="131">Q632/J632</f>
        <v>3.0810924216441054</v>
      </c>
      <c r="S632" s="32">
        <f t="shared" ref="S632:S638" si="132">J632</f>
        <v>54814</v>
      </c>
      <c r="T632" s="3">
        <f t="shared" ref="T632:T663" si="133">S632-J632</f>
        <v>0</v>
      </c>
      <c r="U632" s="1" t="s">
        <v>3615</v>
      </c>
      <c r="V632" s="16">
        <v>1</v>
      </c>
      <c r="W632" s="28">
        <f t="shared" si="119"/>
        <v>1</v>
      </c>
      <c r="X632" s="27">
        <f t="shared" ref="X632:X663" si="134">S632/J632</f>
        <v>1</v>
      </c>
      <c r="Y632" s="18"/>
      <c r="Z632" s="19"/>
    </row>
    <row r="633" spans="1:26" x14ac:dyDescent="0.35">
      <c r="A633" s="29">
        <v>1</v>
      </c>
      <c r="B633" s="1" t="s">
        <v>3623</v>
      </c>
      <c r="C633" s="1"/>
      <c r="D633" s="1" t="s">
        <v>2965</v>
      </c>
      <c r="E633" s="1" t="s">
        <v>2966</v>
      </c>
      <c r="F633" s="1" t="s">
        <v>2967</v>
      </c>
      <c r="G633" s="5" t="s">
        <v>2968</v>
      </c>
      <c r="H633" s="1" t="s">
        <v>17</v>
      </c>
      <c r="I633" s="2">
        <v>46086</v>
      </c>
      <c r="J633" s="33">
        <f t="shared" si="130"/>
        <v>109952</v>
      </c>
      <c r="K633" s="3">
        <v>17434</v>
      </c>
      <c r="L633" s="3">
        <v>83185</v>
      </c>
      <c r="M633" s="3">
        <v>8333</v>
      </c>
      <c r="N633" s="3">
        <v>0</v>
      </c>
      <c r="O633" s="3">
        <v>1000</v>
      </c>
      <c r="P633" s="1" t="s">
        <v>2969</v>
      </c>
      <c r="Q633" s="3">
        <v>158482</v>
      </c>
      <c r="R633" s="25">
        <f t="shared" si="131"/>
        <v>1.4413744179278229</v>
      </c>
      <c r="S633" s="32">
        <f t="shared" si="132"/>
        <v>109952</v>
      </c>
      <c r="T633" s="3">
        <f t="shared" si="133"/>
        <v>0</v>
      </c>
      <c r="U633" s="1" t="s">
        <v>3615</v>
      </c>
      <c r="V633" s="16">
        <v>1</v>
      </c>
      <c r="W633" s="28">
        <f t="shared" si="119"/>
        <v>1</v>
      </c>
      <c r="X633" s="27">
        <f t="shared" si="134"/>
        <v>1</v>
      </c>
      <c r="Y633" s="18"/>
      <c r="Z633" s="19"/>
    </row>
    <row r="634" spans="1:26" x14ac:dyDescent="0.35">
      <c r="A634" s="29">
        <v>1</v>
      </c>
      <c r="B634" s="1" t="s">
        <v>3623</v>
      </c>
      <c r="C634" s="1"/>
      <c r="D634" s="1" t="s">
        <v>2711</v>
      </c>
      <c r="E634" s="1" t="s">
        <v>2712</v>
      </c>
      <c r="F634" s="1" t="s">
        <v>2713</v>
      </c>
      <c r="G634" s="5" t="s">
        <v>2714</v>
      </c>
      <c r="H634" s="1" t="s">
        <v>17</v>
      </c>
      <c r="I634" s="2">
        <v>46086</v>
      </c>
      <c r="J634" s="33">
        <f t="shared" si="130"/>
        <v>130726</v>
      </c>
      <c r="K634" s="3">
        <v>9920</v>
      </c>
      <c r="L634" s="3">
        <v>109806</v>
      </c>
      <c r="M634" s="3">
        <v>10000</v>
      </c>
      <c r="N634" s="3">
        <v>0</v>
      </c>
      <c r="O634" s="3">
        <v>1000</v>
      </c>
      <c r="P634" s="1" t="s">
        <v>2715</v>
      </c>
      <c r="Q634" s="3">
        <v>143258</v>
      </c>
      <c r="R634" s="25">
        <f t="shared" si="131"/>
        <v>1.0958646328962869</v>
      </c>
      <c r="S634" s="32">
        <f t="shared" si="132"/>
        <v>130726</v>
      </c>
      <c r="T634" s="3">
        <f t="shared" si="133"/>
        <v>0</v>
      </c>
      <c r="U634" s="1" t="s">
        <v>3615</v>
      </c>
      <c r="V634" s="16">
        <v>1</v>
      </c>
      <c r="W634" s="28">
        <f t="shared" si="119"/>
        <v>1</v>
      </c>
      <c r="X634" s="27">
        <f t="shared" si="134"/>
        <v>1</v>
      </c>
      <c r="Y634" s="18"/>
      <c r="Z634" s="19"/>
    </row>
    <row r="635" spans="1:26" x14ac:dyDescent="0.35">
      <c r="A635" s="29">
        <v>1</v>
      </c>
      <c r="B635" s="1" t="s">
        <v>3623</v>
      </c>
      <c r="C635" s="1"/>
      <c r="D635" s="1" t="s">
        <v>2956</v>
      </c>
      <c r="E635" s="1" t="s">
        <v>2957</v>
      </c>
      <c r="F635" s="1" t="s">
        <v>2958</v>
      </c>
      <c r="G635" s="5" t="s">
        <v>2959</v>
      </c>
      <c r="H635" s="1" t="s">
        <v>17</v>
      </c>
      <c r="I635" s="2">
        <v>46086</v>
      </c>
      <c r="J635" s="33">
        <f t="shared" si="130"/>
        <v>87390</v>
      </c>
      <c r="K635" s="3">
        <v>11091</v>
      </c>
      <c r="L635" s="3">
        <v>68632</v>
      </c>
      <c r="M635" s="3">
        <v>6667</v>
      </c>
      <c r="N635" s="3">
        <v>0</v>
      </c>
      <c r="O635" s="3">
        <v>1000</v>
      </c>
      <c r="P635" s="1" t="s">
        <v>2960</v>
      </c>
      <c r="Q635" s="3">
        <v>423892</v>
      </c>
      <c r="R635" s="25">
        <f t="shared" si="131"/>
        <v>4.850577869321433</v>
      </c>
      <c r="S635" s="32">
        <f t="shared" si="132"/>
        <v>87390</v>
      </c>
      <c r="T635" s="3">
        <f t="shared" si="133"/>
        <v>0</v>
      </c>
      <c r="U635" s="1" t="s">
        <v>3615</v>
      </c>
      <c r="V635" s="16">
        <v>1</v>
      </c>
      <c r="W635" s="28">
        <f t="shared" si="119"/>
        <v>1</v>
      </c>
      <c r="X635" s="27">
        <f t="shared" si="134"/>
        <v>1</v>
      </c>
      <c r="Y635" s="18"/>
      <c r="Z635" s="19"/>
    </row>
    <row r="636" spans="1:26" x14ac:dyDescent="0.35">
      <c r="A636" s="29">
        <v>1</v>
      </c>
      <c r="B636" s="1" t="s">
        <v>3623</v>
      </c>
      <c r="C636" s="1"/>
      <c r="D636" s="1" t="s">
        <v>2884</v>
      </c>
      <c r="E636" s="1" t="s">
        <v>2885</v>
      </c>
      <c r="F636" s="1" t="s">
        <v>2886</v>
      </c>
      <c r="G636" s="5" t="s">
        <v>2887</v>
      </c>
      <c r="H636" s="1" t="s">
        <v>17</v>
      </c>
      <c r="I636" s="2">
        <v>46086</v>
      </c>
      <c r="J636" s="33">
        <f t="shared" si="130"/>
        <v>33431</v>
      </c>
      <c r="K636" s="3">
        <v>2870</v>
      </c>
      <c r="L636" s="3">
        <v>27061</v>
      </c>
      <c r="M636" s="3">
        <v>2500</v>
      </c>
      <c r="N636" s="3">
        <v>0</v>
      </c>
      <c r="O636" s="3">
        <v>1000</v>
      </c>
      <c r="P636" s="1" t="s">
        <v>2888</v>
      </c>
      <c r="Q636" s="3">
        <v>91686</v>
      </c>
      <c r="R636" s="25">
        <f t="shared" si="131"/>
        <v>2.7425443450689482</v>
      </c>
      <c r="S636" s="32">
        <f t="shared" si="132"/>
        <v>33431</v>
      </c>
      <c r="T636" s="3">
        <f t="shared" si="133"/>
        <v>0</v>
      </c>
      <c r="U636" s="1" t="s">
        <v>3615</v>
      </c>
      <c r="V636" s="16">
        <v>1</v>
      </c>
      <c r="W636" s="28">
        <f t="shared" si="119"/>
        <v>1</v>
      </c>
      <c r="X636" s="27">
        <f t="shared" si="134"/>
        <v>1</v>
      </c>
      <c r="Y636" s="18"/>
      <c r="Z636" s="19"/>
    </row>
    <row r="637" spans="1:26" x14ac:dyDescent="0.35">
      <c r="A637" s="29">
        <v>1</v>
      </c>
      <c r="B637" s="1" t="s">
        <v>3623</v>
      </c>
      <c r="C637" s="1"/>
      <c r="D637" s="1" t="s">
        <v>2903</v>
      </c>
      <c r="E637" s="1" t="s">
        <v>2904</v>
      </c>
      <c r="F637" s="1" t="s">
        <v>2905</v>
      </c>
      <c r="G637" s="5" t="s">
        <v>2906</v>
      </c>
      <c r="H637" s="1" t="s">
        <v>563</v>
      </c>
      <c r="I637" s="2">
        <v>46086</v>
      </c>
      <c r="J637" s="33">
        <f t="shared" si="130"/>
        <v>87866</v>
      </c>
      <c r="K637" s="3">
        <v>11721</v>
      </c>
      <c r="L637" s="3">
        <v>68478</v>
      </c>
      <c r="M637" s="3">
        <v>6667</v>
      </c>
      <c r="N637" s="3">
        <v>0</v>
      </c>
      <c r="O637" s="3">
        <v>1000</v>
      </c>
      <c r="P637" s="1" t="s">
        <v>2907</v>
      </c>
      <c r="Q637" s="3">
        <v>186669</v>
      </c>
      <c r="R637" s="25">
        <f t="shared" si="131"/>
        <v>2.124473630300685</v>
      </c>
      <c r="S637" s="32">
        <f t="shared" si="132"/>
        <v>87866</v>
      </c>
      <c r="T637" s="3">
        <f t="shared" si="133"/>
        <v>0</v>
      </c>
      <c r="U637" s="1" t="s">
        <v>3615</v>
      </c>
      <c r="V637" s="16">
        <v>1</v>
      </c>
      <c r="W637" s="28">
        <f t="shared" si="119"/>
        <v>1</v>
      </c>
      <c r="X637" s="27">
        <f t="shared" si="134"/>
        <v>1</v>
      </c>
      <c r="Y637" s="18"/>
      <c r="Z637" s="19"/>
    </row>
    <row r="638" spans="1:26" x14ac:dyDescent="0.35">
      <c r="A638" s="29">
        <v>1</v>
      </c>
      <c r="B638" s="1" t="s">
        <v>3623</v>
      </c>
      <c r="C638" s="1"/>
      <c r="D638" s="1" t="s">
        <v>2987</v>
      </c>
      <c r="E638" s="1" t="s">
        <v>2988</v>
      </c>
      <c r="F638" s="1" t="s">
        <v>2989</v>
      </c>
      <c r="G638" s="5" t="s">
        <v>2990</v>
      </c>
      <c r="H638" s="1" t="s">
        <v>17</v>
      </c>
      <c r="I638" s="2">
        <v>46086</v>
      </c>
      <c r="J638" s="33">
        <f t="shared" si="130"/>
        <v>325314</v>
      </c>
      <c r="K638" s="3">
        <v>32554</v>
      </c>
      <c r="L638" s="3">
        <v>266760</v>
      </c>
      <c r="M638" s="3">
        <v>25000</v>
      </c>
      <c r="N638" s="3">
        <v>0</v>
      </c>
      <c r="O638" s="3">
        <v>1000</v>
      </c>
      <c r="P638" s="1" t="s">
        <v>2991</v>
      </c>
      <c r="Q638" s="3">
        <v>992131</v>
      </c>
      <c r="R638" s="25">
        <f t="shared" si="131"/>
        <v>3.0497642277922252</v>
      </c>
      <c r="S638" s="32">
        <f t="shared" si="132"/>
        <v>325314</v>
      </c>
      <c r="T638" s="3">
        <f t="shared" si="133"/>
        <v>0</v>
      </c>
      <c r="U638" s="1" t="s">
        <v>3615</v>
      </c>
      <c r="V638" s="16">
        <v>1</v>
      </c>
      <c r="W638" s="28">
        <f t="shared" si="119"/>
        <v>1</v>
      </c>
      <c r="X638" s="27">
        <f t="shared" si="134"/>
        <v>1</v>
      </c>
      <c r="Y638" s="18"/>
      <c r="Z638" s="19"/>
    </row>
    <row r="639" spans="1:26" x14ac:dyDescent="0.35">
      <c r="A639" s="29">
        <v>1</v>
      </c>
      <c r="B639" s="1" t="s">
        <v>3623</v>
      </c>
      <c r="C639" s="1"/>
      <c r="D639" s="1" t="s">
        <v>2826</v>
      </c>
      <c r="E639" s="1" t="s">
        <v>2827</v>
      </c>
      <c r="F639" s="1" t="s">
        <v>2828</v>
      </c>
      <c r="G639" s="5" t="s">
        <v>2829</v>
      </c>
      <c r="H639" s="1" t="s">
        <v>17</v>
      </c>
      <c r="I639" s="2">
        <v>46086</v>
      </c>
      <c r="J639" s="33">
        <f t="shared" si="130"/>
        <v>87390</v>
      </c>
      <c r="K639" s="3">
        <v>12918</v>
      </c>
      <c r="L639" s="3">
        <v>66805</v>
      </c>
      <c r="M639" s="3">
        <v>6667</v>
      </c>
      <c r="N639" s="3">
        <v>0</v>
      </c>
      <c r="O639" s="3">
        <v>1000</v>
      </c>
      <c r="P639" s="1" t="s">
        <v>2830</v>
      </c>
      <c r="Q639" s="3">
        <v>64671</v>
      </c>
      <c r="R639" s="25">
        <f t="shared" si="131"/>
        <v>0.74002746309646417</v>
      </c>
      <c r="S639" s="32">
        <f>Q639</f>
        <v>64671</v>
      </c>
      <c r="T639" s="31">
        <f t="shared" si="133"/>
        <v>-22719</v>
      </c>
      <c r="U639" s="1" t="s">
        <v>3616</v>
      </c>
      <c r="V639" s="16"/>
      <c r="W639" s="30">
        <f t="shared" si="119"/>
        <v>0</v>
      </c>
      <c r="X639" s="27">
        <f t="shared" si="134"/>
        <v>0.74002746309646417</v>
      </c>
      <c r="Y639" s="18"/>
      <c r="Z639" s="19"/>
    </row>
    <row r="640" spans="1:26" x14ac:dyDescent="0.35">
      <c r="A640" s="29">
        <v>1</v>
      </c>
      <c r="B640" s="1" t="s">
        <v>3623</v>
      </c>
      <c r="C640" s="1"/>
      <c r="D640" s="1" t="s">
        <v>2754</v>
      </c>
      <c r="E640" s="1" t="s">
        <v>2755</v>
      </c>
      <c r="F640" s="1" t="s">
        <v>2756</v>
      </c>
      <c r="G640" s="5" t="s">
        <v>2757</v>
      </c>
      <c r="H640" s="1" t="s">
        <v>17</v>
      </c>
      <c r="I640" s="2">
        <v>46086</v>
      </c>
      <c r="J640" s="33">
        <f t="shared" si="130"/>
        <v>108627</v>
      </c>
      <c r="K640" s="3">
        <v>12648</v>
      </c>
      <c r="L640" s="3">
        <v>86646</v>
      </c>
      <c r="M640" s="3">
        <v>8333</v>
      </c>
      <c r="N640" s="3">
        <v>0</v>
      </c>
      <c r="O640" s="3">
        <v>1000</v>
      </c>
      <c r="P640" s="1" t="s">
        <v>2758</v>
      </c>
      <c r="Q640" s="3">
        <v>325768</v>
      </c>
      <c r="R640" s="25">
        <f t="shared" si="131"/>
        <v>2.9989597429736623</v>
      </c>
      <c r="S640" s="32">
        <f>J640</f>
        <v>108627</v>
      </c>
      <c r="T640" s="3">
        <f t="shared" si="133"/>
        <v>0</v>
      </c>
      <c r="U640" s="1" t="s">
        <v>3615</v>
      </c>
      <c r="V640" s="16">
        <v>1</v>
      </c>
      <c r="W640" s="28">
        <f t="shared" si="119"/>
        <v>1</v>
      </c>
      <c r="X640" s="27">
        <f t="shared" si="134"/>
        <v>1</v>
      </c>
      <c r="Y640" s="18"/>
      <c r="Z640" s="19"/>
    </row>
    <row r="641" spans="1:26" x14ac:dyDescent="0.35">
      <c r="A641" s="29">
        <v>1</v>
      </c>
      <c r="B641" s="1" t="s">
        <v>3623</v>
      </c>
      <c r="C641" s="1"/>
      <c r="D641" s="1" t="s">
        <v>2782</v>
      </c>
      <c r="E641" s="1" t="s">
        <v>2783</v>
      </c>
      <c r="F641" s="1" t="s">
        <v>2784</v>
      </c>
      <c r="G641" s="5" t="s">
        <v>2785</v>
      </c>
      <c r="H641" s="1" t="s">
        <v>17</v>
      </c>
      <c r="I641" s="2">
        <v>46086</v>
      </c>
      <c r="J641" s="33">
        <f t="shared" si="130"/>
        <v>55053</v>
      </c>
      <c r="K641" s="3">
        <v>3474</v>
      </c>
      <c r="L641" s="3">
        <v>46412</v>
      </c>
      <c r="M641" s="3">
        <v>4167</v>
      </c>
      <c r="N641" s="3">
        <v>0</v>
      </c>
      <c r="O641" s="3">
        <v>1000</v>
      </c>
      <c r="P641" s="1" t="s">
        <v>2786</v>
      </c>
      <c r="Q641" s="3">
        <v>70433</v>
      </c>
      <c r="R641" s="25">
        <f t="shared" si="131"/>
        <v>1.2793671552867236</v>
      </c>
      <c r="S641" s="32">
        <f>J641</f>
        <v>55053</v>
      </c>
      <c r="T641" s="3">
        <f t="shared" si="133"/>
        <v>0</v>
      </c>
      <c r="U641" s="1" t="s">
        <v>3615</v>
      </c>
      <c r="V641" s="16">
        <v>1</v>
      </c>
      <c r="W641" s="28">
        <f t="shared" si="119"/>
        <v>1</v>
      </c>
      <c r="X641" s="27">
        <f t="shared" si="134"/>
        <v>1</v>
      </c>
      <c r="Y641" s="18"/>
      <c r="Z641" s="19"/>
    </row>
    <row r="642" spans="1:26" x14ac:dyDescent="0.35">
      <c r="A642" s="29">
        <v>1</v>
      </c>
      <c r="B642" s="1" t="s">
        <v>3623</v>
      </c>
      <c r="C642" s="1"/>
      <c r="D642" s="1" t="s">
        <v>2859</v>
      </c>
      <c r="E642" s="1" t="s">
        <v>2860</v>
      </c>
      <c r="F642" s="1" t="s">
        <v>2861</v>
      </c>
      <c r="G642" s="5" t="s">
        <v>2862</v>
      </c>
      <c r="H642" s="1" t="s">
        <v>17</v>
      </c>
      <c r="I642" s="2">
        <v>46086</v>
      </c>
      <c r="J642" s="33">
        <f t="shared" si="130"/>
        <v>109952</v>
      </c>
      <c r="K642" s="3">
        <v>19640</v>
      </c>
      <c r="L642" s="3">
        <v>80979</v>
      </c>
      <c r="M642" s="3">
        <v>8333</v>
      </c>
      <c r="N642" s="3">
        <v>0</v>
      </c>
      <c r="O642" s="3">
        <v>1000</v>
      </c>
      <c r="P642" s="1" t="s">
        <v>2863</v>
      </c>
      <c r="Q642" s="3">
        <v>291090</v>
      </c>
      <c r="R642" s="25">
        <f t="shared" si="131"/>
        <v>2.6474279685681026</v>
      </c>
      <c r="S642" s="32">
        <f>J642</f>
        <v>109952</v>
      </c>
      <c r="T642" s="3">
        <f t="shared" si="133"/>
        <v>0</v>
      </c>
      <c r="U642" s="1" t="s">
        <v>3615</v>
      </c>
      <c r="V642" s="16">
        <v>1</v>
      </c>
      <c r="W642" s="28">
        <f t="shared" si="119"/>
        <v>1</v>
      </c>
      <c r="X642" s="27">
        <f t="shared" si="134"/>
        <v>1</v>
      </c>
      <c r="Y642" s="18"/>
      <c r="Z642" s="19"/>
    </row>
    <row r="643" spans="1:26" x14ac:dyDescent="0.35">
      <c r="A643" s="29">
        <v>1</v>
      </c>
      <c r="B643" s="1" t="s">
        <v>3623</v>
      </c>
      <c r="C643" s="1"/>
      <c r="D643" s="1" t="s">
        <v>2698</v>
      </c>
      <c r="E643" s="1" t="s">
        <v>2699</v>
      </c>
      <c r="F643" s="1" t="s">
        <v>2700</v>
      </c>
      <c r="G643" s="5" t="s">
        <v>2701</v>
      </c>
      <c r="H643" s="1" t="s">
        <v>17</v>
      </c>
      <c r="I643" s="2">
        <v>46086</v>
      </c>
      <c r="J643" s="33">
        <f t="shared" si="130"/>
        <v>55053</v>
      </c>
      <c r="K643" s="3">
        <v>4133</v>
      </c>
      <c r="L643" s="3">
        <v>45753</v>
      </c>
      <c r="M643" s="3">
        <v>4167</v>
      </c>
      <c r="N643" s="3">
        <v>0</v>
      </c>
      <c r="O643" s="3">
        <v>1000</v>
      </c>
      <c r="P643" s="1" t="s">
        <v>2702</v>
      </c>
      <c r="Q643" s="3">
        <v>21958</v>
      </c>
      <c r="R643" s="25">
        <f t="shared" si="131"/>
        <v>0.39885201533068132</v>
      </c>
      <c r="S643" s="32">
        <f>Q643</f>
        <v>21958</v>
      </c>
      <c r="T643" s="31">
        <f t="shared" si="133"/>
        <v>-33095</v>
      </c>
      <c r="U643" s="1" t="s">
        <v>3616</v>
      </c>
      <c r="V643" s="16"/>
      <c r="W643" s="30">
        <f t="shared" ref="W643:W706" si="135">V643/A643</f>
        <v>0</v>
      </c>
      <c r="X643" s="27">
        <f t="shared" si="134"/>
        <v>0.39885201533068132</v>
      </c>
      <c r="Y643" s="18"/>
      <c r="Z643" s="19"/>
    </row>
    <row r="644" spans="1:26" x14ac:dyDescent="0.35">
      <c r="A644" s="29">
        <v>1</v>
      </c>
      <c r="B644" s="1" t="s">
        <v>3623</v>
      </c>
      <c r="C644" s="1"/>
      <c r="D644" s="1" t="s">
        <v>2869</v>
      </c>
      <c r="E644" s="1" t="s">
        <v>2870</v>
      </c>
      <c r="F644" s="1" t="s">
        <v>2871</v>
      </c>
      <c r="G644" s="5" t="s">
        <v>2872</v>
      </c>
      <c r="H644" s="1" t="s">
        <v>17</v>
      </c>
      <c r="I644" s="2">
        <v>46086</v>
      </c>
      <c r="J644" s="33">
        <f t="shared" si="130"/>
        <v>54814</v>
      </c>
      <c r="K644" s="3">
        <v>2641</v>
      </c>
      <c r="L644" s="3">
        <v>47006</v>
      </c>
      <c r="M644" s="3">
        <v>4167</v>
      </c>
      <c r="N644" s="3">
        <v>0</v>
      </c>
      <c r="O644" s="3">
        <v>1000</v>
      </c>
      <c r="P644" s="1" t="s">
        <v>2873</v>
      </c>
      <c r="Q644" s="3">
        <v>62158</v>
      </c>
      <c r="R644" s="25">
        <f t="shared" si="131"/>
        <v>1.1339803699784727</v>
      </c>
      <c r="S644" s="32">
        <f t="shared" ref="S644:S658" si="136">J644</f>
        <v>54814</v>
      </c>
      <c r="T644" s="3">
        <f t="shared" si="133"/>
        <v>0</v>
      </c>
      <c r="U644" s="1" t="s">
        <v>3615</v>
      </c>
      <c r="V644" s="16">
        <v>1</v>
      </c>
      <c r="W644" s="28">
        <f t="shared" si="135"/>
        <v>1</v>
      </c>
      <c r="X644" s="27">
        <f t="shared" si="134"/>
        <v>1</v>
      </c>
      <c r="Y644" s="18"/>
      <c r="Z644" s="19"/>
    </row>
    <row r="645" spans="1:26" x14ac:dyDescent="0.35">
      <c r="A645" s="29">
        <v>1</v>
      </c>
      <c r="B645" s="1" t="s">
        <v>3623</v>
      </c>
      <c r="C645" s="1"/>
      <c r="D645" s="1" t="s">
        <v>2855</v>
      </c>
      <c r="E645" s="1" t="s">
        <v>2856</v>
      </c>
      <c r="F645" s="1" t="s">
        <v>21</v>
      </c>
      <c r="G645" s="5" t="s">
        <v>2857</v>
      </c>
      <c r="H645" s="1" t="s">
        <v>17</v>
      </c>
      <c r="I645" s="2">
        <v>46086</v>
      </c>
      <c r="J645" s="33">
        <f t="shared" si="130"/>
        <v>87484</v>
      </c>
      <c r="K645" s="3">
        <v>10685</v>
      </c>
      <c r="L645" s="3">
        <v>69132</v>
      </c>
      <c r="M645" s="3">
        <v>6667</v>
      </c>
      <c r="N645" s="3">
        <v>0</v>
      </c>
      <c r="O645" s="3">
        <v>1000</v>
      </c>
      <c r="P645" s="1" t="s">
        <v>2858</v>
      </c>
      <c r="Q645" s="3">
        <v>141497</v>
      </c>
      <c r="R645" s="25">
        <f t="shared" si="131"/>
        <v>1.617404325362352</v>
      </c>
      <c r="S645" s="32">
        <f t="shared" si="136"/>
        <v>87484</v>
      </c>
      <c r="T645" s="3">
        <f t="shared" si="133"/>
        <v>0</v>
      </c>
      <c r="U645" s="1" t="s">
        <v>3615</v>
      </c>
      <c r="V645" s="16">
        <v>1</v>
      </c>
      <c r="W645" s="28">
        <f t="shared" si="135"/>
        <v>1</v>
      </c>
      <c r="X645" s="27">
        <f t="shared" si="134"/>
        <v>1</v>
      </c>
      <c r="Y645" s="18"/>
      <c r="Z645" s="19"/>
    </row>
    <row r="646" spans="1:26" x14ac:dyDescent="0.35">
      <c r="A646" s="29">
        <v>1</v>
      </c>
      <c r="B646" s="1" t="s">
        <v>3623</v>
      </c>
      <c r="C646" s="1"/>
      <c r="D646" s="1" t="s">
        <v>2889</v>
      </c>
      <c r="E646" s="1" t="s">
        <v>2890</v>
      </c>
      <c r="F646" s="1" t="s">
        <v>21</v>
      </c>
      <c r="G646" s="5" t="s">
        <v>2891</v>
      </c>
      <c r="H646" s="1" t="s">
        <v>17</v>
      </c>
      <c r="I646" s="2">
        <v>46086</v>
      </c>
      <c r="J646" s="33">
        <f t="shared" si="130"/>
        <v>55053</v>
      </c>
      <c r="K646" s="3">
        <v>4782</v>
      </c>
      <c r="L646" s="3">
        <v>45104</v>
      </c>
      <c r="M646" s="3">
        <v>4167</v>
      </c>
      <c r="N646" s="3">
        <v>0</v>
      </c>
      <c r="O646" s="3">
        <v>1000</v>
      </c>
      <c r="P646" s="1" t="s">
        <v>2892</v>
      </c>
      <c r="Q646" s="3">
        <v>144970</v>
      </c>
      <c r="R646" s="25">
        <f t="shared" si="131"/>
        <v>2.6332806568216083</v>
      </c>
      <c r="S646" s="32">
        <f t="shared" si="136"/>
        <v>55053</v>
      </c>
      <c r="T646" s="3">
        <f t="shared" si="133"/>
        <v>0</v>
      </c>
      <c r="U646" s="1" t="s">
        <v>3615</v>
      </c>
      <c r="V646" s="16">
        <v>1</v>
      </c>
      <c r="W646" s="28">
        <f t="shared" si="135"/>
        <v>1</v>
      </c>
      <c r="X646" s="27">
        <f t="shared" si="134"/>
        <v>1</v>
      </c>
      <c r="Y646" s="18"/>
      <c r="Z646" s="19"/>
    </row>
    <row r="647" spans="1:26" x14ac:dyDescent="0.35">
      <c r="A647" s="29">
        <v>1</v>
      </c>
      <c r="B647" s="1" t="s">
        <v>3623</v>
      </c>
      <c r="C647" s="1"/>
      <c r="D647" s="1" t="s">
        <v>2817</v>
      </c>
      <c r="E647" s="1" t="s">
        <v>2818</v>
      </c>
      <c r="F647" s="1" t="s">
        <v>21</v>
      </c>
      <c r="G647" s="5" t="s">
        <v>2819</v>
      </c>
      <c r="H647" s="1" t="s">
        <v>17</v>
      </c>
      <c r="I647" s="2">
        <v>46086</v>
      </c>
      <c r="J647" s="33">
        <f t="shared" si="130"/>
        <v>113307</v>
      </c>
      <c r="K647" s="3">
        <v>16794</v>
      </c>
      <c r="L647" s="3">
        <v>86846</v>
      </c>
      <c r="M647" s="3">
        <v>8667</v>
      </c>
      <c r="N647" s="3">
        <v>0</v>
      </c>
      <c r="O647" s="3">
        <v>1000</v>
      </c>
      <c r="P647" s="1" t="s">
        <v>2820</v>
      </c>
      <c r="Q647" s="3">
        <v>422558</v>
      </c>
      <c r="R647" s="25">
        <f t="shared" si="131"/>
        <v>3.7293194595214771</v>
      </c>
      <c r="S647" s="32">
        <f t="shared" si="136"/>
        <v>113307</v>
      </c>
      <c r="T647" s="3">
        <f t="shared" si="133"/>
        <v>0</v>
      </c>
      <c r="U647" s="1" t="s">
        <v>3615</v>
      </c>
      <c r="V647" s="16">
        <v>1</v>
      </c>
      <c r="W647" s="28">
        <f t="shared" si="135"/>
        <v>1</v>
      </c>
      <c r="X647" s="27">
        <f t="shared" si="134"/>
        <v>1</v>
      </c>
      <c r="Y647" s="18"/>
      <c r="Z647" s="19"/>
    </row>
    <row r="648" spans="1:26" x14ac:dyDescent="0.35">
      <c r="A648" s="29">
        <v>1</v>
      </c>
      <c r="B648" s="1" t="s">
        <v>3623</v>
      </c>
      <c r="C648" s="1"/>
      <c r="D648" s="1" t="s">
        <v>2992</v>
      </c>
      <c r="E648" s="1" t="s">
        <v>2993</v>
      </c>
      <c r="F648" s="1" t="s">
        <v>21</v>
      </c>
      <c r="G648" s="5" t="s">
        <v>2994</v>
      </c>
      <c r="H648" s="1" t="s">
        <v>17</v>
      </c>
      <c r="I648" s="2">
        <v>46086</v>
      </c>
      <c r="J648" s="33">
        <f t="shared" si="130"/>
        <v>26917</v>
      </c>
      <c r="K648" s="3">
        <v>3327</v>
      </c>
      <c r="L648" s="3">
        <v>20590</v>
      </c>
      <c r="M648" s="3">
        <v>2000</v>
      </c>
      <c r="N648" s="3">
        <v>0</v>
      </c>
      <c r="O648" s="3">
        <v>1000</v>
      </c>
      <c r="P648" s="1" t="s">
        <v>2995</v>
      </c>
      <c r="Q648" s="3">
        <v>58683</v>
      </c>
      <c r="R648" s="25">
        <f t="shared" si="131"/>
        <v>2.1801463758962738</v>
      </c>
      <c r="S648" s="32">
        <f t="shared" si="136"/>
        <v>26917</v>
      </c>
      <c r="T648" s="3">
        <f t="shared" si="133"/>
        <v>0</v>
      </c>
      <c r="U648" s="1" t="s">
        <v>3615</v>
      </c>
      <c r="V648" s="16">
        <v>1</v>
      </c>
      <c r="W648" s="28">
        <f t="shared" si="135"/>
        <v>1</v>
      </c>
      <c r="X648" s="27">
        <f t="shared" si="134"/>
        <v>1</v>
      </c>
      <c r="Y648" s="18"/>
      <c r="Z648" s="19"/>
    </row>
    <row r="649" spans="1:26" x14ac:dyDescent="0.35">
      <c r="A649" s="29">
        <v>1</v>
      </c>
      <c r="B649" s="1" t="s">
        <v>3623</v>
      </c>
      <c r="C649" s="1"/>
      <c r="D649" s="1" t="s">
        <v>2831</v>
      </c>
      <c r="E649" s="1" t="s">
        <v>2832</v>
      </c>
      <c r="F649" s="1" t="s">
        <v>21</v>
      </c>
      <c r="G649" s="5" t="s">
        <v>2833</v>
      </c>
      <c r="H649" s="1" t="s">
        <v>17</v>
      </c>
      <c r="I649" s="2">
        <v>46086</v>
      </c>
      <c r="J649" s="33">
        <f t="shared" si="130"/>
        <v>182588</v>
      </c>
      <c r="K649" s="3">
        <v>32733</v>
      </c>
      <c r="L649" s="3">
        <v>134966</v>
      </c>
      <c r="M649" s="3">
        <v>13889</v>
      </c>
      <c r="N649" s="3">
        <v>0</v>
      </c>
      <c r="O649" s="3">
        <v>1000</v>
      </c>
      <c r="P649" s="1" t="s">
        <v>2834</v>
      </c>
      <c r="Q649" s="3">
        <v>528323</v>
      </c>
      <c r="R649" s="25">
        <f t="shared" si="131"/>
        <v>2.8935253138212809</v>
      </c>
      <c r="S649" s="32">
        <f t="shared" si="136"/>
        <v>182588</v>
      </c>
      <c r="T649" s="3">
        <f t="shared" si="133"/>
        <v>0</v>
      </c>
      <c r="U649" s="1" t="s">
        <v>3615</v>
      </c>
      <c r="V649" s="16">
        <v>1</v>
      </c>
      <c r="W649" s="28">
        <f t="shared" si="135"/>
        <v>1</v>
      </c>
      <c r="X649" s="27">
        <f t="shared" si="134"/>
        <v>1</v>
      </c>
      <c r="Y649" s="18"/>
      <c r="Z649" s="19"/>
    </row>
    <row r="650" spans="1:26" x14ac:dyDescent="0.35">
      <c r="A650" s="29">
        <v>1</v>
      </c>
      <c r="B650" s="1" t="s">
        <v>3623</v>
      </c>
      <c r="C650" s="1"/>
      <c r="D650" s="1" t="s">
        <v>3000</v>
      </c>
      <c r="E650" s="1" t="s">
        <v>3001</v>
      </c>
      <c r="F650" s="1" t="s">
        <v>21</v>
      </c>
      <c r="G650" s="5" t="s">
        <v>3002</v>
      </c>
      <c r="H650" s="1" t="s">
        <v>17</v>
      </c>
      <c r="I650" s="2">
        <v>46086</v>
      </c>
      <c r="J650" s="33">
        <f t="shared" si="130"/>
        <v>54814</v>
      </c>
      <c r="K650" s="3">
        <v>5134</v>
      </c>
      <c r="L650" s="3">
        <v>44513</v>
      </c>
      <c r="M650" s="3">
        <v>4167</v>
      </c>
      <c r="N650" s="3">
        <v>0</v>
      </c>
      <c r="O650" s="3">
        <v>1000</v>
      </c>
      <c r="P650" s="1" t="s">
        <v>3003</v>
      </c>
      <c r="Q650" s="3">
        <v>93781</v>
      </c>
      <c r="R650" s="25">
        <f t="shared" si="131"/>
        <v>1.7108950268179661</v>
      </c>
      <c r="S650" s="32">
        <f t="shared" si="136"/>
        <v>54814</v>
      </c>
      <c r="T650" s="3">
        <f t="shared" si="133"/>
        <v>0</v>
      </c>
      <c r="U650" s="1" t="s">
        <v>3615</v>
      </c>
      <c r="V650" s="16">
        <v>1</v>
      </c>
      <c r="W650" s="28">
        <f t="shared" si="135"/>
        <v>1</v>
      </c>
      <c r="X650" s="27">
        <f t="shared" si="134"/>
        <v>1</v>
      </c>
      <c r="Y650" s="18"/>
      <c r="Z650" s="19"/>
    </row>
    <row r="651" spans="1:26" x14ac:dyDescent="0.35">
      <c r="A651" s="29">
        <v>1</v>
      </c>
      <c r="B651" s="1" t="s">
        <v>3623</v>
      </c>
      <c r="C651" s="1"/>
      <c r="D651" s="1" t="s">
        <v>2774</v>
      </c>
      <c r="E651" s="1" t="s">
        <v>2775</v>
      </c>
      <c r="F651" s="1" t="s">
        <v>21</v>
      </c>
      <c r="G651" s="5" t="s">
        <v>2776</v>
      </c>
      <c r="H651" s="1" t="s">
        <v>17</v>
      </c>
      <c r="I651" s="2">
        <v>46086</v>
      </c>
      <c r="J651" s="33">
        <f t="shared" si="130"/>
        <v>54814</v>
      </c>
      <c r="K651" s="3">
        <v>2000</v>
      </c>
      <c r="L651" s="3">
        <v>47647</v>
      </c>
      <c r="M651" s="3">
        <v>4167</v>
      </c>
      <c r="N651" s="3">
        <v>0</v>
      </c>
      <c r="O651" s="3">
        <v>1000</v>
      </c>
      <c r="P651" s="1" t="s">
        <v>2777</v>
      </c>
      <c r="Q651" s="3">
        <v>227895</v>
      </c>
      <c r="R651" s="25">
        <f t="shared" si="131"/>
        <v>4.1576057211661253</v>
      </c>
      <c r="S651" s="32">
        <f t="shared" si="136"/>
        <v>54814</v>
      </c>
      <c r="T651" s="3">
        <f t="shared" si="133"/>
        <v>0</v>
      </c>
      <c r="U651" s="1" t="s">
        <v>3615</v>
      </c>
      <c r="V651" s="16">
        <v>1</v>
      </c>
      <c r="W651" s="28">
        <f t="shared" si="135"/>
        <v>1</v>
      </c>
      <c r="X651" s="27">
        <f t="shared" si="134"/>
        <v>1</v>
      </c>
      <c r="Y651" s="18"/>
      <c r="Z651" s="19"/>
    </row>
    <row r="652" spans="1:26" x14ac:dyDescent="0.35">
      <c r="A652" s="29">
        <v>1</v>
      </c>
      <c r="B652" s="1" t="s">
        <v>3623</v>
      </c>
      <c r="C652" s="1"/>
      <c r="D652" s="1" t="s">
        <v>2778</v>
      </c>
      <c r="E652" s="1" t="s">
        <v>2779</v>
      </c>
      <c r="F652" s="1" t="s">
        <v>21</v>
      </c>
      <c r="G652" s="5" t="s">
        <v>2780</v>
      </c>
      <c r="H652" s="1" t="s">
        <v>563</v>
      </c>
      <c r="I652" s="2">
        <v>46086</v>
      </c>
      <c r="J652" s="33">
        <f t="shared" si="130"/>
        <v>105320</v>
      </c>
      <c r="K652" s="3">
        <v>12919</v>
      </c>
      <c r="L652" s="3">
        <v>83506</v>
      </c>
      <c r="M652" s="3">
        <v>7895</v>
      </c>
      <c r="N652" s="3">
        <v>0</v>
      </c>
      <c r="O652" s="3">
        <v>1000</v>
      </c>
      <c r="P652" s="1" t="s">
        <v>2781</v>
      </c>
      <c r="Q652" s="3">
        <v>163980</v>
      </c>
      <c r="R652" s="25">
        <f t="shared" si="131"/>
        <v>1.5569692366122294</v>
      </c>
      <c r="S652" s="32">
        <f t="shared" si="136"/>
        <v>105320</v>
      </c>
      <c r="T652" s="3">
        <f t="shared" si="133"/>
        <v>0</v>
      </c>
      <c r="U652" s="1" t="s">
        <v>3615</v>
      </c>
      <c r="V652" s="16">
        <v>1</v>
      </c>
      <c r="W652" s="28">
        <f t="shared" si="135"/>
        <v>1</v>
      </c>
      <c r="X652" s="27">
        <f t="shared" si="134"/>
        <v>1</v>
      </c>
      <c r="Y652" s="18"/>
      <c r="Z652" s="19"/>
    </row>
    <row r="653" spans="1:26" x14ac:dyDescent="0.35">
      <c r="A653" s="29">
        <v>1</v>
      </c>
      <c r="B653" s="1" t="s">
        <v>3623</v>
      </c>
      <c r="C653" s="1"/>
      <c r="D653" s="1" t="s">
        <v>2740</v>
      </c>
      <c r="E653" s="1" t="s">
        <v>2741</v>
      </c>
      <c r="F653" s="1" t="s">
        <v>21</v>
      </c>
      <c r="G653" s="5" t="s">
        <v>2742</v>
      </c>
      <c r="H653" s="1" t="s">
        <v>17</v>
      </c>
      <c r="I653" s="2">
        <v>46086</v>
      </c>
      <c r="J653" s="33">
        <f t="shared" si="130"/>
        <v>323882</v>
      </c>
      <c r="K653" s="3">
        <v>27142</v>
      </c>
      <c r="L653" s="3">
        <v>270740</v>
      </c>
      <c r="M653" s="3">
        <v>25000</v>
      </c>
      <c r="N653" s="3">
        <v>0</v>
      </c>
      <c r="O653" s="3">
        <v>1000</v>
      </c>
      <c r="P653" s="1" t="s">
        <v>2743</v>
      </c>
      <c r="Q653" s="3">
        <v>602773</v>
      </c>
      <c r="R653" s="25">
        <f t="shared" si="131"/>
        <v>1.861088297589863</v>
      </c>
      <c r="S653" s="32">
        <f t="shared" si="136"/>
        <v>323882</v>
      </c>
      <c r="T653" s="3">
        <f t="shared" si="133"/>
        <v>0</v>
      </c>
      <c r="U653" s="1" t="s">
        <v>3615</v>
      </c>
      <c r="V653" s="16">
        <v>1</v>
      </c>
      <c r="W653" s="28">
        <f t="shared" si="135"/>
        <v>1</v>
      </c>
      <c r="X653" s="27">
        <f t="shared" si="134"/>
        <v>1</v>
      </c>
      <c r="Y653" s="18"/>
      <c r="Z653" s="19"/>
    </row>
    <row r="654" spans="1:26" x14ac:dyDescent="0.35">
      <c r="A654" s="29">
        <v>1</v>
      </c>
      <c r="B654" s="1" t="s">
        <v>3623</v>
      </c>
      <c r="C654" s="1"/>
      <c r="D654" s="1" t="s">
        <v>2791</v>
      </c>
      <c r="E654" s="1" t="s">
        <v>2792</v>
      </c>
      <c r="F654" s="1" t="s">
        <v>21</v>
      </c>
      <c r="G654" s="5" t="s">
        <v>2793</v>
      </c>
      <c r="H654" s="1" t="s">
        <v>17</v>
      </c>
      <c r="I654" s="2">
        <v>46086</v>
      </c>
      <c r="J654" s="33">
        <f t="shared" si="130"/>
        <v>87484</v>
      </c>
      <c r="K654" s="3">
        <v>6613</v>
      </c>
      <c r="L654" s="3">
        <v>73204</v>
      </c>
      <c r="M654" s="3">
        <v>6667</v>
      </c>
      <c r="N654" s="3">
        <v>0</v>
      </c>
      <c r="O654" s="3">
        <v>1000</v>
      </c>
      <c r="P654" s="1" t="s">
        <v>2794</v>
      </c>
      <c r="Q654" s="3">
        <v>189340</v>
      </c>
      <c r="R654" s="25">
        <f t="shared" si="131"/>
        <v>2.1642814686114034</v>
      </c>
      <c r="S654" s="32">
        <f t="shared" si="136"/>
        <v>87484</v>
      </c>
      <c r="T654" s="3">
        <f t="shared" si="133"/>
        <v>0</v>
      </c>
      <c r="U654" s="1" t="s">
        <v>3615</v>
      </c>
      <c r="V654" s="16">
        <v>1</v>
      </c>
      <c r="W654" s="28">
        <f t="shared" si="135"/>
        <v>1</v>
      </c>
      <c r="X654" s="27">
        <f t="shared" si="134"/>
        <v>1</v>
      </c>
      <c r="Y654" s="18"/>
      <c r="Z654" s="19"/>
    </row>
    <row r="655" spans="1:26" x14ac:dyDescent="0.35">
      <c r="A655" s="29">
        <v>1</v>
      </c>
      <c r="B655" s="1" t="s">
        <v>3623</v>
      </c>
      <c r="C655" s="1"/>
      <c r="D655" s="1" t="s">
        <v>2787</v>
      </c>
      <c r="E655" s="1" t="s">
        <v>2788</v>
      </c>
      <c r="F655" s="1" t="s">
        <v>21</v>
      </c>
      <c r="G655" s="5" t="s">
        <v>2789</v>
      </c>
      <c r="H655" s="1" t="s">
        <v>17</v>
      </c>
      <c r="I655" s="2">
        <v>46086</v>
      </c>
      <c r="J655" s="33">
        <f t="shared" si="130"/>
        <v>108627</v>
      </c>
      <c r="K655" s="3">
        <v>6566</v>
      </c>
      <c r="L655" s="3">
        <v>92728</v>
      </c>
      <c r="M655" s="3">
        <v>8333</v>
      </c>
      <c r="N655" s="3">
        <v>0</v>
      </c>
      <c r="O655" s="3">
        <v>1000</v>
      </c>
      <c r="P655" s="1" t="s">
        <v>2790</v>
      </c>
      <c r="Q655" s="3">
        <v>271283</v>
      </c>
      <c r="R655" s="25">
        <f t="shared" si="131"/>
        <v>2.4973809458053706</v>
      </c>
      <c r="S655" s="32">
        <f t="shared" si="136"/>
        <v>108627</v>
      </c>
      <c r="T655" s="3">
        <f t="shared" si="133"/>
        <v>0</v>
      </c>
      <c r="U655" s="1" t="s">
        <v>3615</v>
      </c>
      <c r="V655" s="16">
        <v>1</v>
      </c>
      <c r="W655" s="28">
        <f t="shared" si="135"/>
        <v>1</v>
      </c>
      <c r="X655" s="27">
        <f t="shared" si="134"/>
        <v>1</v>
      </c>
      <c r="Y655" s="18"/>
      <c r="Z655" s="19"/>
    </row>
    <row r="656" spans="1:26" x14ac:dyDescent="0.35">
      <c r="A656" s="29">
        <v>1</v>
      </c>
      <c r="B656" s="1" t="s">
        <v>3623</v>
      </c>
      <c r="C656" s="1"/>
      <c r="D656" s="1" t="s">
        <v>2813</v>
      </c>
      <c r="E656" s="1" t="s">
        <v>2814</v>
      </c>
      <c r="F656" s="1" t="s">
        <v>21</v>
      </c>
      <c r="G656" s="5" t="s">
        <v>2815</v>
      </c>
      <c r="H656" s="1" t="s">
        <v>17</v>
      </c>
      <c r="I656" s="2">
        <v>46086</v>
      </c>
      <c r="J656" s="33">
        <f t="shared" si="130"/>
        <v>33288</v>
      </c>
      <c r="K656" s="3">
        <v>2714</v>
      </c>
      <c r="L656" s="3">
        <v>27074</v>
      </c>
      <c r="M656" s="3">
        <v>2500</v>
      </c>
      <c r="N656" s="3">
        <v>0</v>
      </c>
      <c r="O656" s="3">
        <v>1000</v>
      </c>
      <c r="P656" s="1" t="s">
        <v>2816</v>
      </c>
      <c r="Q656" s="3">
        <v>78353</v>
      </c>
      <c r="R656" s="25">
        <f t="shared" si="131"/>
        <v>2.3537911559721221</v>
      </c>
      <c r="S656" s="32">
        <f t="shared" si="136"/>
        <v>33288</v>
      </c>
      <c r="T656" s="3">
        <f t="shared" si="133"/>
        <v>0</v>
      </c>
      <c r="U656" s="1" t="s">
        <v>3615</v>
      </c>
      <c r="V656" s="16">
        <v>1</v>
      </c>
      <c r="W656" s="28">
        <f t="shared" si="135"/>
        <v>1</v>
      </c>
      <c r="X656" s="27">
        <f t="shared" si="134"/>
        <v>1</v>
      </c>
      <c r="Y656" s="18"/>
      <c r="Z656" s="19"/>
    </row>
    <row r="657" spans="1:26" x14ac:dyDescent="0.35">
      <c r="A657" s="29">
        <v>1</v>
      </c>
      <c r="B657" s="1" t="s">
        <v>3623</v>
      </c>
      <c r="C657" s="1"/>
      <c r="D657" s="1" t="s">
        <v>2795</v>
      </c>
      <c r="E657" s="1" t="s">
        <v>2796</v>
      </c>
      <c r="F657" s="1" t="s">
        <v>21</v>
      </c>
      <c r="G657" s="5" t="s">
        <v>2797</v>
      </c>
      <c r="H657" s="1" t="s">
        <v>17</v>
      </c>
      <c r="I657" s="2">
        <v>46086</v>
      </c>
      <c r="J657" s="33">
        <f t="shared" si="130"/>
        <v>109104</v>
      </c>
      <c r="K657" s="3">
        <v>8267</v>
      </c>
      <c r="L657" s="3">
        <v>91504</v>
      </c>
      <c r="M657" s="3">
        <v>8333</v>
      </c>
      <c r="N657" s="3">
        <v>0</v>
      </c>
      <c r="O657" s="3">
        <v>1000</v>
      </c>
      <c r="P657" s="1" t="s">
        <v>2798</v>
      </c>
      <c r="Q657" s="3">
        <v>226926</v>
      </c>
      <c r="R657" s="25">
        <f t="shared" si="131"/>
        <v>2.0799054113506381</v>
      </c>
      <c r="S657" s="32">
        <f t="shared" si="136"/>
        <v>109104</v>
      </c>
      <c r="T657" s="3">
        <f t="shared" si="133"/>
        <v>0</v>
      </c>
      <c r="U657" s="1" t="s">
        <v>3615</v>
      </c>
      <c r="V657" s="16">
        <v>1</v>
      </c>
      <c r="W657" s="28">
        <f t="shared" si="135"/>
        <v>1</v>
      </c>
      <c r="X657" s="27">
        <f t="shared" si="134"/>
        <v>1</v>
      </c>
      <c r="Y657" s="18"/>
      <c r="Z657" s="19"/>
    </row>
    <row r="658" spans="1:26" x14ac:dyDescent="0.35">
      <c r="A658" s="29">
        <v>1</v>
      </c>
      <c r="B658" s="1" t="s">
        <v>3623</v>
      </c>
      <c r="C658" s="1"/>
      <c r="D658" s="1" t="s">
        <v>2716</v>
      </c>
      <c r="E658" s="1" t="s">
        <v>2717</v>
      </c>
      <c r="F658" s="1" t="s">
        <v>21</v>
      </c>
      <c r="G658" s="5" t="s">
        <v>2718</v>
      </c>
      <c r="H658" s="1" t="s">
        <v>17</v>
      </c>
      <c r="I658" s="2">
        <v>46086</v>
      </c>
      <c r="J658" s="33">
        <f t="shared" si="130"/>
        <v>141536</v>
      </c>
      <c r="K658" s="3">
        <v>10747</v>
      </c>
      <c r="L658" s="3">
        <v>118956</v>
      </c>
      <c r="M658" s="3">
        <v>10833</v>
      </c>
      <c r="N658" s="3">
        <v>0</v>
      </c>
      <c r="O658" s="3">
        <v>1000</v>
      </c>
      <c r="P658" s="1" t="s">
        <v>2719</v>
      </c>
      <c r="Q658" s="3">
        <v>170618</v>
      </c>
      <c r="R658" s="25">
        <f t="shared" si="131"/>
        <v>1.2054742256387068</v>
      </c>
      <c r="S658" s="32">
        <f t="shared" si="136"/>
        <v>141536</v>
      </c>
      <c r="T658" s="3">
        <f t="shared" si="133"/>
        <v>0</v>
      </c>
      <c r="U658" s="1" t="s">
        <v>3615</v>
      </c>
      <c r="V658" s="16">
        <v>1</v>
      </c>
      <c r="W658" s="28">
        <f t="shared" si="135"/>
        <v>1</v>
      </c>
      <c r="X658" s="27">
        <f t="shared" si="134"/>
        <v>1</v>
      </c>
      <c r="Y658" s="18"/>
      <c r="Z658" s="19"/>
    </row>
    <row r="659" spans="1:26" x14ac:dyDescent="0.35">
      <c r="A659" s="29">
        <v>1</v>
      </c>
      <c r="B659" s="1" t="s">
        <v>3623</v>
      </c>
      <c r="C659" s="1"/>
      <c r="D659" s="1" t="s">
        <v>2707</v>
      </c>
      <c r="E659" s="1" t="s">
        <v>2708</v>
      </c>
      <c r="F659" s="1" t="s">
        <v>21</v>
      </c>
      <c r="G659" s="5" t="s">
        <v>2709</v>
      </c>
      <c r="H659" s="1" t="s">
        <v>17</v>
      </c>
      <c r="I659" s="2">
        <v>46086</v>
      </c>
      <c r="J659" s="33">
        <f t="shared" si="130"/>
        <v>33431</v>
      </c>
      <c r="K659" s="3">
        <v>2480</v>
      </c>
      <c r="L659" s="3">
        <v>27451</v>
      </c>
      <c r="M659" s="3">
        <v>2500</v>
      </c>
      <c r="N659" s="3">
        <v>0</v>
      </c>
      <c r="O659" s="3">
        <v>1000</v>
      </c>
      <c r="P659" s="1" t="s">
        <v>2710</v>
      </c>
      <c r="Q659" s="3">
        <v>13558</v>
      </c>
      <c r="R659" s="25">
        <f t="shared" si="131"/>
        <v>0.40555173342107625</v>
      </c>
      <c r="S659" s="32">
        <f>Q659</f>
        <v>13558</v>
      </c>
      <c r="T659" s="31">
        <f t="shared" si="133"/>
        <v>-19873</v>
      </c>
      <c r="U659" s="1" t="s">
        <v>3616</v>
      </c>
      <c r="V659" s="16"/>
      <c r="W659" s="30">
        <f t="shared" si="135"/>
        <v>0</v>
      </c>
      <c r="X659" s="27">
        <f t="shared" si="134"/>
        <v>0.40555173342107625</v>
      </c>
      <c r="Y659" s="18"/>
      <c r="Z659" s="19"/>
    </row>
    <row r="660" spans="1:26" x14ac:dyDescent="0.35">
      <c r="A660" s="29">
        <v>1</v>
      </c>
      <c r="B660" s="1" t="s">
        <v>3623</v>
      </c>
      <c r="C660" s="1"/>
      <c r="D660" s="1" t="s">
        <v>2703</v>
      </c>
      <c r="E660" s="1" t="s">
        <v>2704</v>
      </c>
      <c r="F660" s="1" t="s">
        <v>21</v>
      </c>
      <c r="G660" s="5" t="s">
        <v>2705</v>
      </c>
      <c r="H660" s="1" t="s">
        <v>17</v>
      </c>
      <c r="I660" s="2">
        <v>46086</v>
      </c>
      <c r="J660" s="33">
        <f t="shared" si="130"/>
        <v>109104</v>
      </c>
      <c r="K660" s="3">
        <v>8267</v>
      </c>
      <c r="L660" s="3">
        <v>91504</v>
      </c>
      <c r="M660" s="3">
        <v>8333</v>
      </c>
      <c r="N660" s="3">
        <v>0</v>
      </c>
      <c r="O660" s="3">
        <v>1000</v>
      </c>
      <c r="P660" s="1" t="s">
        <v>2706</v>
      </c>
      <c r="Q660" s="3">
        <v>0</v>
      </c>
      <c r="R660" s="25">
        <f t="shared" si="131"/>
        <v>0</v>
      </c>
      <c r="S660" s="32">
        <f>Q660</f>
        <v>0</v>
      </c>
      <c r="T660" s="31">
        <f t="shared" si="133"/>
        <v>-109104</v>
      </c>
      <c r="U660" s="1" t="s">
        <v>3616</v>
      </c>
      <c r="V660" s="16"/>
      <c r="W660" s="30">
        <f t="shared" si="135"/>
        <v>0</v>
      </c>
      <c r="X660" s="27">
        <f t="shared" si="134"/>
        <v>0</v>
      </c>
      <c r="Y660" s="18"/>
      <c r="Z660" s="19"/>
    </row>
    <row r="661" spans="1:26" x14ac:dyDescent="0.35">
      <c r="A661" s="29">
        <v>1</v>
      </c>
      <c r="B661" s="1" t="s">
        <v>3623</v>
      </c>
      <c r="C661" s="1"/>
      <c r="D661" s="1" t="s">
        <v>2809</v>
      </c>
      <c r="E661" s="1" t="s">
        <v>2810</v>
      </c>
      <c r="F661" s="1" t="s">
        <v>21</v>
      </c>
      <c r="G661" s="5" t="s">
        <v>2811</v>
      </c>
      <c r="H661" s="1" t="s">
        <v>563</v>
      </c>
      <c r="I661" s="2">
        <v>46086</v>
      </c>
      <c r="J661" s="33">
        <f t="shared" si="130"/>
        <v>147224</v>
      </c>
      <c r="K661" s="3">
        <v>22978</v>
      </c>
      <c r="L661" s="3">
        <v>112135</v>
      </c>
      <c r="M661" s="3">
        <v>11111</v>
      </c>
      <c r="N661" s="3">
        <v>0</v>
      </c>
      <c r="O661" s="3">
        <v>1000</v>
      </c>
      <c r="P661" s="1" t="s">
        <v>2812</v>
      </c>
      <c r="Q661" s="3">
        <v>848945</v>
      </c>
      <c r="R661" s="25">
        <f t="shared" si="131"/>
        <v>5.7663492365375211</v>
      </c>
      <c r="S661" s="32">
        <f t="shared" ref="S661:S666" si="137">J661</f>
        <v>147224</v>
      </c>
      <c r="T661" s="3">
        <f t="shared" si="133"/>
        <v>0</v>
      </c>
      <c r="U661" s="1" t="s">
        <v>3615</v>
      </c>
      <c r="V661" s="16">
        <v>1</v>
      </c>
      <c r="W661" s="28">
        <f t="shared" si="135"/>
        <v>1</v>
      </c>
      <c r="X661" s="27">
        <f t="shared" si="134"/>
        <v>1</v>
      </c>
      <c r="Y661" s="18"/>
      <c r="Z661" s="19"/>
    </row>
    <row r="662" spans="1:26" x14ac:dyDescent="0.35">
      <c r="A662" s="29">
        <v>1</v>
      </c>
      <c r="B662" s="1" t="s">
        <v>3623</v>
      </c>
      <c r="C662" s="1"/>
      <c r="D662" s="1" t="s">
        <v>2952</v>
      </c>
      <c r="E662" s="1" t="s">
        <v>2953</v>
      </c>
      <c r="F662" s="1" t="s">
        <v>21</v>
      </c>
      <c r="G662" s="5" t="s">
        <v>2954</v>
      </c>
      <c r="H662" s="1" t="s">
        <v>17</v>
      </c>
      <c r="I662" s="2">
        <v>46086</v>
      </c>
      <c r="J662" s="33">
        <f t="shared" si="130"/>
        <v>27906</v>
      </c>
      <c r="K662" s="3">
        <v>2567</v>
      </c>
      <c r="L662" s="3">
        <v>22256</v>
      </c>
      <c r="M662" s="3">
        <v>2083</v>
      </c>
      <c r="N662" s="3">
        <v>0</v>
      </c>
      <c r="O662" s="3">
        <v>1000</v>
      </c>
      <c r="P662" s="1" t="s">
        <v>2955</v>
      </c>
      <c r="Q662" s="3">
        <v>49744</v>
      </c>
      <c r="R662" s="25">
        <f t="shared" si="131"/>
        <v>1.7825557227836308</v>
      </c>
      <c r="S662" s="32">
        <f t="shared" si="137"/>
        <v>27906</v>
      </c>
      <c r="T662" s="3">
        <f t="shared" si="133"/>
        <v>0</v>
      </c>
      <c r="U662" s="1" t="s">
        <v>3615</v>
      </c>
      <c r="V662" s="16">
        <v>1</v>
      </c>
      <c r="W662" s="28">
        <f t="shared" si="135"/>
        <v>1</v>
      </c>
      <c r="X662" s="27">
        <f t="shared" si="134"/>
        <v>1</v>
      </c>
      <c r="Y662" s="18"/>
      <c r="Z662" s="19"/>
    </row>
    <row r="663" spans="1:26" x14ac:dyDescent="0.35">
      <c r="A663" s="29">
        <v>1</v>
      </c>
      <c r="B663" s="1" t="s">
        <v>3623</v>
      </c>
      <c r="C663" s="1"/>
      <c r="D663" s="1" t="s">
        <v>3009</v>
      </c>
      <c r="E663" s="1" t="s">
        <v>3010</v>
      </c>
      <c r="F663" s="1" t="s">
        <v>21</v>
      </c>
      <c r="G663" s="5" t="s">
        <v>3011</v>
      </c>
      <c r="H663" s="1" t="s">
        <v>32</v>
      </c>
      <c r="I663" s="2">
        <v>46086</v>
      </c>
      <c r="J663" s="33">
        <f t="shared" si="130"/>
        <v>325314</v>
      </c>
      <c r="K663" s="3">
        <v>32554</v>
      </c>
      <c r="L663" s="3">
        <v>266760</v>
      </c>
      <c r="M663" s="3">
        <v>25000</v>
      </c>
      <c r="N663" s="3">
        <v>0</v>
      </c>
      <c r="O663" s="3">
        <v>1000</v>
      </c>
      <c r="P663" s="1" t="s">
        <v>3012</v>
      </c>
      <c r="Q663" s="3">
        <v>740031</v>
      </c>
      <c r="R663" s="25">
        <f t="shared" si="131"/>
        <v>2.2748206348328077</v>
      </c>
      <c r="S663" s="32">
        <f t="shared" si="137"/>
        <v>325314</v>
      </c>
      <c r="T663" s="3">
        <f t="shared" si="133"/>
        <v>0</v>
      </c>
      <c r="U663" s="1" t="s">
        <v>3615</v>
      </c>
      <c r="V663" s="16">
        <v>1</v>
      </c>
      <c r="W663" s="28">
        <f t="shared" si="135"/>
        <v>1</v>
      </c>
      <c r="X663" s="27">
        <f t="shared" si="134"/>
        <v>1</v>
      </c>
      <c r="Y663" s="18"/>
      <c r="Z663" s="19"/>
    </row>
    <row r="664" spans="1:26" x14ac:dyDescent="0.35">
      <c r="A664" s="29">
        <v>1</v>
      </c>
      <c r="B664" s="1" t="s">
        <v>3623</v>
      </c>
      <c r="C664" s="1"/>
      <c r="D664" s="1" t="s">
        <v>2948</v>
      </c>
      <c r="E664" s="1" t="s">
        <v>2949</v>
      </c>
      <c r="F664" s="1" t="s">
        <v>21</v>
      </c>
      <c r="G664" s="5" t="s">
        <v>2950</v>
      </c>
      <c r="H664" s="1" t="s">
        <v>17</v>
      </c>
      <c r="I664" s="2">
        <v>46086</v>
      </c>
      <c r="J664" s="33">
        <f t="shared" ref="J664:J695" si="138">SUM(K664:O664)</f>
        <v>218906</v>
      </c>
      <c r="K664" s="3">
        <v>34868</v>
      </c>
      <c r="L664" s="3">
        <v>166371</v>
      </c>
      <c r="M664" s="3">
        <v>16667</v>
      </c>
      <c r="N664" s="3">
        <v>0</v>
      </c>
      <c r="O664" s="3">
        <v>1000</v>
      </c>
      <c r="P664" s="1" t="s">
        <v>2951</v>
      </c>
      <c r="Q664" s="3">
        <v>1074957</v>
      </c>
      <c r="R664" s="25">
        <f t="shared" ref="R664:R695" si="139">Q664/J664</f>
        <v>4.9105871926763083</v>
      </c>
      <c r="S664" s="32">
        <f t="shared" si="137"/>
        <v>218906</v>
      </c>
      <c r="T664" s="3">
        <f t="shared" ref="T664:T695" si="140">S664-J664</f>
        <v>0</v>
      </c>
      <c r="U664" s="1" t="s">
        <v>3615</v>
      </c>
      <c r="V664" s="16">
        <v>1</v>
      </c>
      <c r="W664" s="28">
        <f t="shared" si="135"/>
        <v>1</v>
      </c>
      <c r="X664" s="27">
        <f t="shared" ref="X664:X673" si="141">S664/J664</f>
        <v>1</v>
      </c>
      <c r="Y664" s="18"/>
      <c r="Z664" s="19"/>
    </row>
    <row r="665" spans="1:26" x14ac:dyDescent="0.35">
      <c r="A665" s="29">
        <v>1</v>
      </c>
      <c r="B665" s="1" t="s">
        <v>3623</v>
      </c>
      <c r="C665" s="1"/>
      <c r="D665" s="1" t="s">
        <v>2961</v>
      </c>
      <c r="E665" s="1" t="s">
        <v>2962</v>
      </c>
      <c r="F665" s="1" t="s">
        <v>21</v>
      </c>
      <c r="G665" s="5" t="s">
        <v>2963</v>
      </c>
      <c r="H665" s="1" t="s">
        <v>17</v>
      </c>
      <c r="I665" s="2">
        <v>46086</v>
      </c>
      <c r="J665" s="33">
        <f t="shared" si="138"/>
        <v>27906</v>
      </c>
      <c r="K665" s="3">
        <v>2567</v>
      </c>
      <c r="L665" s="3">
        <v>22256</v>
      </c>
      <c r="M665" s="3">
        <v>2083</v>
      </c>
      <c r="N665" s="3">
        <v>0</v>
      </c>
      <c r="O665" s="3">
        <v>1000</v>
      </c>
      <c r="P665" s="1" t="s">
        <v>2964</v>
      </c>
      <c r="Q665" s="3">
        <v>90394</v>
      </c>
      <c r="R665" s="25">
        <f t="shared" si="139"/>
        <v>3.2392317064430589</v>
      </c>
      <c r="S665" s="32">
        <f t="shared" si="137"/>
        <v>27906</v>
      </c>
      <c r="T665" s="3">
        <f t="shared" si="140"/>
        <v>0</v>
      </c>
      <c r="U665" s="1" t="s">
        <v>3615</v>
      </c>
      <c r="V665" s="16">
        <v>1</v>
      </c>
      <c r="W665" s="28">
        <f t="shared" si="135"/>
        <v>1</v>
      </c>
      <c r="X665" s="27">
        <f t="shared" si="141"/>
        <v>1</v>
      </c>
      <c r="Y665" s="18"/>
      <c r="Z665" s="19"/>
    </row>
    <row r="666" spans="1:26" x14ac:dyDescent="0.35">
      <c r="A666" s="29">
        <v>1</v>
      </c>
      <c r="B666" s="1" t="s">
        <v>3623</v>
      </c>
      <c r="C666" s="1"/>
      <c r="D666" s="1" t="s">
        <v>2974</v>
      </c>
      <c r="E666" s="1" t="s">
        <v>2975</v>
      </c>
      <c r="F666" s="1" t="s">
        <v>21</v>
      </c>
      <c r="G666" s="5" t="s">
        <v>2976</v>
      </c>
      <c r="H666" s="1" t="s">
        <v>17</v>
      </c>
      <c r="I666" s="2">
        <v>46086</v>
      </c>
      <c r="J666" s="33">
        <f t="shared" si="138"/>
        <v>59108</v>
      </c>
      <c r="K666" s="3">
        <v>9298</v>
      </c>
      <c r="L666" s="3">
        <v>44366</v>
      </c>
      <c r="M666" s="3">
        <v>4444</v>
      </c>
      <c r="N666" s="3">
        <v>0</v>
      </c>
      <c r="O666" s="3">
        <v>1000</v>
      </c>
      <c r="P666" s="1" t="s">
        <v>2977</v>
      </c>
      <c r="Q666" s="3">
        <v>123057</v>
      </c>
      <c r="R666" s="25">
        <f t="shared" si="139"/>
        <v>2.0819009271164646</v>
      </c>
      <c r="S666" s="32">
        <f t="shared" si="137"/>
        <v>59108</v>
      </c>
      <c r="T666" s="3">
        <f t="shared" si="140"/>
        <v>0</v>
      </c>
      <c r="U666" s="1" t="s">
        <v>3615</v>
      </c>
      <c r="V666" s="16">
        <v>1</v>
      </c>
      <c r="W666" s="28">
        <f t="shared" si="135"/>
        <v>1</v>
      </c>
      <c r="X666" s="27">
        <f t="shared" si="141"/>
        <v>1</v>
      </c>
      <c r="Y666" s="18"/>
      <c r="Z666" s="19"/>
    </row>
    <row r="667" spans="1:26" x14ac:dyDescent="0.35">
      <c r="A667" s="29">
        <v>1</v>
      </c>
      <c r="B667" s="1" t="s">
        <v>3623</v>
      </c>
      <c r="C667" s="1"/>
      <c r="D667" s="1" t="s">
        <v>3013</v>
      </c>
      <c r="E667" s="1" t="s">
        <v>3014</v>
      </c>
      <c r="F667" s="1" t="s">
        <v>21</v>
      </c>
      <c r="G667" s="5" t="s">
        <v>3015</v>
      </c>
      <c r="H667" s="1" t="s">
        <v>17</v>
      </c>
      <c r="I667" s="2">
        <v>46086</v>
      </c>
      <c r="J667" s="33">
        <f t="shared" si="138"/>
        <v>163157</v>
      </c>
      <c r="K667" s="3">
        <v>16277</v>
      </c>
      <c r="L667" s="3">
        <v>133380</v>
      </c>
      <c r="M667" s="3">
        <v>12500</v>
      </c>
      <c r="N667" s="3">
        <v>0</v>
      </c>
      <c r="O667" s="3">
        <v>1000</v>
      </c>
      <c r="P667" s="1" t="s">
        <v>3016</v>
      </c>
      <c r="Q667" s="3">
        <v>67515</v>
      </c>
      <c r="R667" s="25">
        <f t="shared" si="139"/>
        <v>0.41380388215032149</v>
      </c>
      <c r="S667" s="32">
        <f>Q667</f>
        <v>67515</v>
      </c>
      <c r="T667" s="31">
        <f t="shared" si="140"/>
        <v>-95642</v>
      </c>
      <c r="U667" s="1" t="s">
        <v>3616</v>
      </c>
      <c r="V667" s="16"/>
      <c r="W667" s="30">
        <f t="shared" si="135"/>
        <v>0</v>
      </c>
      <c r="X667" s="27">
        <f t="shared" si="141"/>
        <v>0.41380388215032149</v>
      </c>
      <c r="Y667" s="18"/>
      <c r="Z667" s="19"/>
    </row>
    <row r="668" spans="1:26" x14ac:dyDescent="0.35">
      <c r="A668" s="29">
        <v>1</v>
      </c>
      <c r="B668" s="1" t="s">
        <v>3623</v>
      </c>
      <c r="C668" s="1"/>
      <c r="D668" s="1" t="s">
        <v>2970</v>
      </c>
      <c r="E668" s="1" t="s">
        <v>2971</v>
      </c>
      <c r="F668" s="1" t="s">
        <v>21</v>
      </c>
      <c r="G668" s="5" t="s">
        <v>2972</v>
      </c>
      <c r="H668" s="1" t="s">
        <v>17</v>
      </c>
      <c r="I668" s="2">
        <v>46086</v>
      </c>
      <c r="J668" s="33">
        <f t="shared" si="138"/>
        <v>130585</v>
      </c>
      <c r="K668" s="3">
        <v>16636</v>
      </c>
      <c r="L668" s="3">
        <v>102949</v>
      </c>
      <c r="M668" s="3">
        <v>10000</v>
      </c>
      <c r="N668" s="3">
        <v>0</v>
      </c>
      <c r="O668" s="3">
        <v>1000</v>
      </c>
      <c r="P668" s="1" t="s">
        <v>2973</v>
      </c>
      <c r="Q668" s="3">
        <v>199416</v>
      </c>
      <c r="R668" s="25">
        <f t="shared" si="139"/>
        <v>1.5270972929509514</v>
      </c>
      <c r="S668" s="32">
        <f>J668</f>
        <v>130585</v>
      </c>
      <c r="T668" s="3">
        <f t="shared" si="140"/>
        <v>0</v>
      </c>
      <c r="U668" s="1" t="s">
        <v>3615</v>
      </c>
      <c r="V668" s="16">
        <v>1</v>
      </c>
      <c r="W668" s="28">
        <f t="shared" si="135"/>
        <v>1</v>
      </c>
      <c r="X668" s="27">
        <f t="shared" si="141"/>
        <v>1</v>
      </c>
      <c r="Y668" s="18"/>
      <c r="Z668" s="19"/>
    </row>
    <row r="669" spans="1:26" x14ac:dyDescent="0.35">
      <c r="A669" s="29">
        <v>1</v>
      </c>
      <c r="B669" s="1" t="s">
        <v>3623</v>
      </c>
      <c r="C669" s="1"/>
      <c r="D669" s="1" t="s">
        <v>3026</v>
      </c>
      <c r="E669" s="1" t="s">
        <v>3027</v>
      </c>
      <c r="F669" s="1" t="s">
        <v>21</v>
      </c>
      <c r="G669" s="5" t="s">
        <v>3028</v>
      </c>
      <c r="H669" s="1" t="s">
        <v>563</v>
      </c>
      <c r="I669" s="2">
        <v>46086</v>
      </c>
      <c r="J669" s="33">
        <f t="shared" si="138"/>
        <v>131299</v>
      </c>
      <c r="K669" s="3">
        <v>17581</v>
      </c>
      <c r="L669" s="3">
        <v>102718</v>
      </c>
      <c r="M669" s="3">
        <v>10000</v>
      </c>
      <c r="N669" s="3">
        <v>0</v>
      </c>
      <c r="O669" s="3">
        <v>1000</v>
      </c>
      <c r="P669" s="1" t="s">
        <v>3029</v>
      </c>
      <c r="Q669" s="3">
        <v>187589</v>
      </c>
      <c r="R669" s="25">
        <f t="shared" si="139"/>
        <v>1.4287161364519152</v>
      </c>
      <c r="S669" s="32">
        <f>J669</f>
        <v>131299</v>
      </c>
      <c r="T669" s="3">
        <f t="shared" si="140"/>
        <v>0</v>
      </c>
      <c r="U669" s="1" t="s">
        <v>3615</v>
      </c>
      <c r="V669" s="16">
        <v>1</v>
      </c>
      <c r="W669" s="28">
        <f t="shared" si="135"/>
        <v>1</v>
      </c>
      <c r="X669" s="27">
        <f t="shared" si="141"/>
        <v>1</v>
      </c>
      <c r="Y669" s="18"/>
      <c r="Z669" s="19"/>
    </row>
    <row r="670" spans="1:26" x14ac:dyDescent="0.35">
      <c r="A670" s="29">
        <v>1</v>
      </c>
      <c r="B670" s="1" t="s">
        <v>3623</v>
      </c>
      <c r="C670" s="1"/>
      <c r="D670" s="1" t="s">
        <v>2996</v>
      </c>
      <c r="E670" s="1" t="s">
        <v>2997</v>
      </c>
      <c r="F670" s="1" t="s">
        <v>21</v>
      </c>
      <c r="G670" s="5" t="s">
        <v>2998</v>
      </c>
      <c r="H670" s="1" t="s">
        <v>17</v>
      </c>
      <c r="I670" s="2">
        <v>46086</v>
      </c>
      <c r="J670" s="33">
        <f t="shared" si="138"/>
        <v>109104</v>
      </c>
      <c r="K670" s="3">
        <v>10851</v>
      </c>
      <c r="L670" s="3">
        <v>88920</v>
      </c>
      <c r="M670" s="3">
        <v>8333</v>
      </c>
      <c r="N670" s="3">
        <v>0</v>
      </c>
      <c r="O670" s="3">
        <v>1000</v>
      </c>
      <c r="P670" s="1" t="s">
        <v>2999</v>
      </c>
      <c r="Q670" s="3">
        <v>282013</v>
      </c>
      <c r="R670" s="25">
        <f t="shared" si="139"/>
        <v>2.5848089895879163</v>
      </c>
      <c r="S670" s="32">
        <f>J670</f>
        <v>109104</v>
      </c>
      <c r="T670" s="3">
        <f t="shared" si="140"/>
        <v>0</v>
      </c>
      <c r="U670" s="1" t="s">
        <v>3615</v>
      </c>
      <c r="V670" s="16">
        <v>1</v>
      </c>
      <c r="W670" s="28">
        <f t="shared" si="135"/>
        <v>1</v>
      </c>
      <c r="X670" s="27">
        <f t="shared" si="141"/>
        <v>1</v>
      </c>
      <c r="Y670" s="18"/>
      <c r="Z670" s="19"/>
    </row>
    <row r="671" spans="1:26" x14ac:dyDescent="0.35">
      <c r="A671" s="29">
        <v>1</v>
      </c>
      <c r="B671" s="1" t="s">
        <v>3623</v>
      </c>
      <c r="C671" s="1"/>
      <c r="D671" s="1" t="s">
        <v>3022</v>
      </c>
      <c r="E671" s="1" t="s">
        <v>3023</v>
      </c>
      <c r="F671" s="1" t="s">
        <v>21</v>
      </c>
      <c r="G671" s="5" t="s">
        <v>3024</v>
      </c>
      <c r="H671" s="1" t="s">
        <v>17</v>
      </c>
      <c r="I671" s="2">
        <v>46086</v>
      </c>
      <c r="J671" s="33">
        <f t="shared" si="138"/>
        <v>54814</v>
      </c>
      <c r="K671" s="3">
        <v>5134</v>
      </c>
      <c r="L671" s="3">
        <v>44513</v>
      </c>
      <c r="M671" s="3">
        <v>4167</v>
      </c>
      <c r="N671" s="3">
        <v>0</v>
      </c>
      <c r="O671" s="3">
        <v>1000</v>
      </c>
      <c r="P671" s="1" t="s">
        <v>3025</v>
      </c>
      <c r="Q671" s="3">
        <v>144781</v>
      </c>
      <c r="R671" s="25">
        <f t="shared" si="139"/>
        <v>2.641314262779582</v>
      </c>
      <c r="S671" s="32">
        <f>J671</f>
        <v>54814</v>
      </c>
      <c r="T671" s="3">
        <f t="shared" si="140"/>
        <v>0</v>
      </c>
      <c r="U671" s="1" t="s">
        <v>3615</v>
      </c>
      <c r="V671" s="16">
        <v>1</v>
      </c>
      <c r="W671" s="28">
        <f t="shared" si="135"/>
        <v>1</v>
      </c>
      <c r="X671" s="27">
        <f t="shared" si="141"/>
        <v>1</v>
      </c>
      <c r="Y671" s="18"/>
      <c r="Z671" s="19"/>
    </row>
    <row r="672" spans="1:26" x14ac:dyDescent="0.35">
      <c r="A672" s="29">
        <v>1</v>
      </c>
      <c r="B672" s="1" t="s">
        <v>3623</v>
      </c>
      <c r="C672" s="1"/>
      <c r="D672" s="1" t="s">
        <v>2983</v>
      </c>
      <c r="E672" s="1" t="s">
        <v>2984</v>
      </c>
      <c r="F672" s="1" t="s">
        <v>21</v>
      </c>
      <c r="G672" s="5" t="s">
        <v>2985</v>
      </c>
      <c r="H672" s="1" t="s">
        <v>17</v>
      </c>
      <c r="I672" s="2">
        <v>46086</v>
      </c>
      <c r="J672" s="33">
        <f t="shared" si="138"/>
        <v>163157</v>
      </c>
      <c r="K672" s="3">
        <v>16277</v>
      </c>
      <c r="L672" s="3">
        <v>133380</v>
      </c>
      <c r="M672" s="3">
        <v>12500</v>
      </c>
      <c r="N672" s="3">
        <v>0</v>
      </c>
      <c r="O672" s="3">
        <v>1000</v>
      </c>
      <c r="P672" s="1" t="s">
        <v>2986</v>
      </c>
      <c r="Q672" s="3">
        <v>87815</v>
      </c>
      <c r="R672" s="25">
        <f t="shared" si="139"/>
        <v>0.53822391929246061</v>
      </c>
      <c r="S672" s="32">
        <f>Q672</f>
        <v>87815</v>
      </c>
      <c r="T672" s="31">
        <f t="shared" si="140"/>
        <v>-75342</v>
      </c>
      <c r="U672" s="1" t="s">
        <v>3616</v>
      </c>
      <c r="V672" s="16"/>
      <c r="W672" s="30">
        <f t="shared" si="135"/>
        <v>0</v>
      </c>
      <c r="X672" s="27">
        <f t="shared" si="141"/>
        <v>0.53822391929246061</v>
      </c>
      <c r="Y672" s="18"/>
      <c r="Z672" s="19"/>
    </row>
    <row r="673" spans="1:26" x14ac:dyDescent="0.35">
      <c r="A673" s="29">
        <v>1</v>
      </c>
      <c r="B673" s="1" t="s">
        <v>3623</v>
      </c>
      <c r="C673" s="1"/>
      <c r="D673" s="1" t="s">
        <v>2924</v>
      </c>
      <c r="E673" s="1" t="s">
        <v>2925</v>
      </c>
      <c r="F673" s="1" t="s">
        <v>21</v>
      </c>
      <c r="G673" s="5" t="s">
        <v>2926</v>
      </c>
      <c r="H673" s="1" t="s">
        <v>17</v>
      </c>
      <c r="I673" s="2">
        <v>46086</v>
      </c>
      <c r="J673" s="33">
        <f t="shared" si="138"/>
        <v>108627</v>
      </c>
      <c r="K673" s="3">
        <v>12648</v>
      </c>
      <c r="L673" s="3">
        <v>86646</v>
      </c>
      <c r="M673" s="3">
        <v>8333</v>
      </c>
      <c r="N673" s="3">
        <v>0</v>
      </c>
      <c r="O673" s="3">
        <v>1000</v>
      </c>
      <c r="P673" s="1" t="s">
        <v>2927</v>
      </c>
      <c r="Q673" s="3">
        <v>153300</v>
      </c>
      <c r="R673" s="25">
        <f t="shared" si="139"/>
        <v>1.4112513463503549</v>
      </c>
      <c r="S673" s="32">
        <f>J673</f>
        <v>108627</v>
      </c>
      <c r="T673" s="3">
        <f t="shared" si="140"/>
        <v>0</v>
      </c>
      <c r="U673" s="1" t="s">
        <v>3615</v>
      </c>
      <c r="V673" s="16">
        <v>1</v>
      </c>
      <c r="W673" s="28">
        <f t="shared" si="135"/>
        <v>1</v>
      </c>
      <c r="X673" s="27">
        <f t="shared" si="141"/>
        <v>1</v>
      </c>
      <c r="Y673" s="18"/>
      <c r="Z673" s="19"/>
    </row>
    <row r="674" spans="1:26" s="40" customFormat="1" ht="15" thickBot="1" x14ac:dyDescent="0.4">
      <c r="A674" s="34">
        <f>SUM(A600:A673)</f>
        <v>74</v>
      </c>
      <c r="B674" s="73" t="s">
        <v>3629</v>
      </c>
      <c r="C674" s="73"/>
      <c r="D674" s="73"/>
      <c r="E674" s="73"/>
      <c r="F674" s="73"/>
      <c r="G674" s="73"/>
      <c r="H674" s="73"/>
      <c r="I674" s="73"/>
      <c r="J674" s="35">
        <f>SUM(J600:J673)</f>
        <v>8838342</v>
      </c>
      <c r="K674" s="36">
        <f t="shared" ref="K674:V674" si="142">SUM(K600:K673)</f>
        <v>935520</v>
      </c>
      <c r="L674" s="36">
        <f t="shared" si="142"/>
        <v>7157537</v>
      </c>
      <c r="M674" s="36">
        <f t="shared" si="142"/>
        <v>671285</v>
      </c>
      <c r="N674" s="36">
        <f t="shared" si="142"/>
        <v>0</v>
      </c>
      <c r="O674" s="36">
        <f t="shared" si="142"/>
        <v>74000</v>
      </c>
      <c r="P674" s="36">
        <f t="shared" si="142"/>
        <v>0</v>
      </c>
      <c r="Q674" s="36">
        <f t="shared" si="142"/>
        <v>20210055</v>
      </c>
      <c r="R674" s="36"/>
      <c r="S674" s="45">
        <f t="shared" si="142"/>
        <v>7890066</v>
      </c>
      <c r="T674" s="37">
        <f t="shared" si="142"/>
        <v>-948276</v>
      </c>
      <c r="U674" s="35">
        <f t="shared" si="142"/>
        <v>0</v>
      </c>
      <c r="V674" s="35">
        <f t="shared" si="142"/>
        <v>64</v>
      </c>
      <c r="W674" s="38">
        <f t="shared" si="135"/>
        <v>0.86486486486486491</v>
      </c>
      <c r="X674" s="39">
        <f t="shared" ref="X674" si="143">S674/J674</f>
        <v>0.89270883611428475</v>
      </c>
    </row>
    <row r="675" spans="1:26" x14ac:dyDescent="0.35">
      <c r="A675" s="29">
        <v>1</v>
      </c>
      <c r="B675" s="1" t="s">
        <v>3624</v>
      </c>
      <c r="C675" s="1"/>
      <c r="D675" s="1" t="s">
        <v>3230</v>
      </c>
      <c r="E675" s="1" t="s">
        <v>3231</v>
      </c>
      <c r="F675" s="1" t="s">
        <v>3232</v>
      </c>
      <c r="G675" s="5" t="s">
        <v>3233</v>
      </c>
      <c r="H675" s="1" t="s">
        <v>467</v>
      </c>
      <c r="I675" s="2">
        <v>46086</v>
      </c>
      <c r="J675" s="33">
        <f t="shared" ref="J675:J706" si="144">SUM(K675:O675)</f>
        <v>54502</v>
      </c>
      <c r="K675" s="3">
        <v>2965</v>
      </c>
      <c r="L675" s="3">
        <v>50537</v>
      </c>
      <c r="M675" s="3">
        <v>0</v>
      </c>
      <c r="N675" s="3">
        <v>0</v>
      </c>
      <c r="O675" s="3">
        <v>1000</v>
      </c>
      <c r="P675" s="1" t="s">
        <v>3234</v>
      </c>
      <c r="Q675" s="3">
        <v>51770</v>
      </c>
      <c r="R675" s="25">
        <f t="shared" ref="R675:R706" si="145">Q675/J675</f>
        <v>0.94987339914131597</v>
      </c>
      <c r="S675" s="32">
        <f>Q675</f>
        <v>51770</v>
      </c>
      <c r="T675" s="31">
        <f t="shared" ref="T675:T706" si="146">S675-J675</f>
        <v>-2732</v>
      </c>
      <c r="U675" s="1" t="s">
        <v>3616</v>
      </c>
      <c r="V675" s="16"/>
      <c r="W675" s="30">
        <f t="shared" si="135"/>
        <v>0</v>
      </c>
      <c r="X675" s="27">
        <f t="shared" ref="X675:X706" si="147">S675/J675</f>
        <v>0.94987339914131597</v>
      </c>
      <c r="Y675" s="18"/>
      <c r="Z675" s="19"/>
    </row>
    <row r="676" spans="1:26" x14ac:dyDescent="0.35">
      <c r="A676" s="29">
        <v>1</v>
      </c>
      <c r="B676" s="1" t="s">
        <v>3624</v>
      </c>
      <c r="C676" s="1"/>
      <c r="D676" s="1" t="s">
        <v>3225</v>
      </c>
      <c r="E676" s="1" t="s">
        <v>3226</v>
      </c>
      <c r="F676" s="1" t="s">
        <v>3227</v>
      </c>
      <c r="G676" s="5" t="s">
        <v>3228</v>
      </c>
      <c r="H676" s="1" t="s">
        <v>17</v>
      </c>
      <c r="I676" s="2">
        <v>46086</v>
      </c>
      <c r="J676" s="33">
        <f t="shared" si="144"/>
        <v>51007</v>
      </c>
      <c r="K676" s="3">
        <v>4186</v>
      </c>
      <c r="L676" s="3">
        <v>41654</v>
      </c>
      <c r="M676" s="3">
        <v>4167</v>
      </c>
      <c r="N676" s="3">
        <v>0</v>
      </c>
      <c r="O676" s="3">
        <v>1000</v>
      </c>
      <c r="P676" s="1" t="s">
        <v>3229</v>
      </c>
      <c r="Q676" s="3">
        <v>110610</v>
      </c>
      <c r="R676" s="25">
        <f t="shared" si="145"/>
        <v>2.1685258886035248</v>
      </c>
      <c r="S676" s="32">
        <f t="shared" ref="S676:S682" si="148">J676</f>
        <v>51007</v>
      </c>
      <c r="T676" s="3">
        <f t="shared" si="146"/>
        <v>0</v>
      </c>
      <c r="U676" s="1" t="s">
        <v>3615</v>
      </c>
      <c r="V676" s="16">
        <v>1</v>
      </c>
      <c r="W676" s="28">
        <f t="shared" si="135"/>
        <v>1</v>
      </c>
      <c r="X676" s="27">
        <f t="shared" si="147"/>
        <v>1</v>
      </c>
      <c r="Y676" s="18"/>
      <c r="Z676" s="19"/>
    </row>
    <row r="677" spans="1:26" x14ac:dyDescent="0.35">
      <c r="A677" s="29">
        <v>1</v>
      </c>
      <c r="B677" s="1" t="s">
        <v>3624</v>
      </c>
      <c r="C677" s="1"/>
      <c r="D677" s="1" t="s">
        <v>3180</v>
      </c>
      <c r="E677" s="1" t="s">
        <v>3181</v>
      </c>
      <c r="F677" s="1" t="s">
        <v>3182</v>
      </c>
      <c r="G677" s="5" t="s">
        <v>3183</v>
      </c>
      <c r="H677" s="1" t="s">
        <v>17</v>
      </c>
      <c r="I677" s="2">
        <v>46086</v>
      </c>
      <c r="J677" s="33">
        <f t="shared" si="144"/>
        <v>31004</v>
      </c>
      <c r="K677" s="3">
        <v>2871</v>
      </c>
      <c r="L677" s="3">
        <v>24633</v>
      </c>
      <c r="M677" s="3">
        <v>2500</v>
      </c>
      <c r="N677" s="3">
        <v>0</v>
      </c>
      <c r="O677" s="3">
        <v>1000</v>
      </c>
      <c r="P677" s="1" t="s">
        <v>3184</v>
      </c>
      <c r="Q677" s="3">
        <v>124568</v>
      </c>
      <c r="R677" s="25">
        <f t="shared" si="145"/>
        <v>4.017804154302671</v>
      </c>
      <c r="S677" s="32">
        <f t="shared" si="148"/>
        <v>31004</v>
      </c>
      <c r="T677" s="3">
        <f t="shared" si="146"/>
        <v>0</v>
      </c>
      <c r="U677" s="1" t="s">
        <v>3615</v>
      </c>
      <c r="V677" s="16">
        <v>1</v>
      </c>
      <c r="W677" s="28">
        <f t="shared" si="135"/>
        <v>1</v>
      </c>
      <c r="X677" s="27">
        <f t="shared" si="147"/>
        <v>1</v>
      </c>
      <c r="Y677" s="18"/>
      <c r="Z677" s="19"/>
    </row>
    <row r="678" spans="1:26" x14ac:dyDescent="0.35">
      <c r="A678" s="29">
        <v>1</v>
      </c>
      <c r="B678" s="1" t="s">
        <v>3624</v>
      </c>
      <c r="C678" s="1"/>
      <c r="D678" s="1" t="s">
        <v>3134</v>
      </c>
      <c r="E678" s="1" t="s">
        <v>3135</v>
      </c>
      <c r="F678" s="1" t="s">
        <v>3136</v>
      </c>
      <c r="G678" s="5" t="s">
        <v>3137</v>
      </c>
      <c r="H678" s="1" t="s">
        <v>17</v>
      </c>
      <c r="I678" s="2">
        <v>46086</v>
      </c>
      <c r="J678" s="33">
        <f t="shared" si="144"/>
        <v>51007</v>
      </c>
      <c r="K678" s="3">
        <v>4208</v>
      </c>
      <c r="L678" s="3">
        <v>41632</v>
      </c>
      <c r="M678" s="3">
        <v>4167</v>
      </c>
      <c r="N678" s="3">
        <v>0</v>
      </c>
      <c r="O678" s="3">
        <v>1000</v>
      </c>
      <c r="P678" s="1" t="s">
        <v>3138</v>
      </c>
      <c r="Q678" s="3">
        <v>91422</v>
      </c>
      <c r="R678" s="25">
        <f t="shared" si="145"/>
        <v>1.7923422275373968</v>
      </c>
      <c r="S678" s="32">
        <f t="shared" si="148"/>
        <v>51007</v>
      </c>
      <c r="T678" s="3">
        <f t="shared" si="146"/>
        <v>0</v>
      </c>
      <c r="U678" s="1" t="s">
        <v>3615</v>
      </c>
      <c r="V678" s="16">
        <v>1</v>
      </c>
      <c r="W678" s="28">
        <f t="shared" si="135"/>
        <v>1</v>
      </c>
      <c r="X678" s="27">
        <f t="shared" si="147"/>
        <v>1</v>
      </c>
      <c r="Y678" s="18"/>
      <c r="Z678" s="19"/>
    </row>
    <row r="679" spans="1:26" x14ac:dyDescent="0.35">
      <c r="A679" s="29">
        <v>1</v>
      </c>
      <c r="B679" s="1" t="s">
        <v>3624</v>
      </c>
      <c r="C679" s="1"/>
      <c r="D679" s="1" t="s">
        <v>3058</v>
      </c>
      <c r="E679" s="1" t="s">
        <v>3059</v>
      </c>
      <c r="F679" s="1" t="s">
        <v>3060</v>
      </c>
      <c r="G679" s="5" t="s">
        <v>3061</v>
      </c>
      <c r="H679" s="1" t="s">
        <v>17</v>
      </c>
      <c r="I679" s="2">
        <v>46086</v>
      </c>
      <c r="J679" s="33">
        <f t="shared" si="144"/>
        <v>56489</v>
      </c>
      <c r="K679" s="3">
        <v>7801</v>
      </c>
      <c r="L679" s="3">
        <v>43244</v>
      </c>
      <c r="M679" s="3">
        <v>4444</v>
      </c>
      <c r="N679" s="3">
        <v>0</v>
      </c>
      <c r="O679" s="3">
        <v>1000</v>
      </c>
      <c r="P679" s="1" t="s">
        <v>3062</v>
      </c>
      <c r="Q679" s="3">
        <v>318792</v>
      </c>
      <c r="R679" s="25">
        <f t="shared" si="145"/>
        <v>5.6434350050452302</v>
      </c>
      <c r="S679" s="32">
        <f t="shared" si="148"/>
        <v>56489</v>
      </c>
      <c r="T679" s="3">
        <f t="shared" si="146"/>
        <v>0</v>
      </c>
      <c r="U679" s="1" t="s">
        <v>3615</v>
      </c>
      <c r="V679" s="16">
        <v>1</v>
      </c>
      <c r="W679" s="28">
        <f t="shared" si="135"/>
        <v>1</v>
      </c>
      <c r="X679" s="27">
        <f t="shared" si="147"/>
        <v>1</v>
      </c>
      <c r="Y679" s="18"/>
      <c r="Z679" s="19"/>
    </row>
    <row r="680" spans="1:26" x14ac:dyDescent="0.35">
      <c r="A680" s="29">
        <v>1</v>
      </c>
      <c r="B680" s="1" t="s">
        <v>3624</v>
      </c>
      <c r="C680" s="1"/>
      <c r="D680" s="1" t="s">
        <v>3143</v>
      </c>
      <c r="E680" s="1" t="s">
        <v>3144</v>
      </c>
      <c r="F680" s="1" t="s">
        <v>3145</v>
      </c>
      <c r="G680" s="5" t="s">
        <v>3146</v>
      </c>
      <c r="H680" s="1" t="s">
        <v>17</v>
      </c>
      <c r="I680" s="2">
        <v>46086</v>
      </c>
      <c r="J680" s="33">
        <f t="shared" si="144"/>
        <v>81011</v>
      </c>
      <c r="K680" s="3">
        <v>6727</v>
      </c>
      <c r="L680" s="3">
        <v>66617</v>
      </c>
      <c r="M680" s="3">
        <v>6667</v>
      </c>
      <c r="N680" s="3">
        <v>0</v>
      </c>
      <c r="O680" s="3">
        <v>1000</v>
      </c>
      <c r="P680" s="1" t="s">
        <v>3147</v>
      </c>
      <c r="Q680" s="3">
        <v>145211</v>
      </c>
      <c r="R680" s="25">
        <f t="shared" si="145"/>
        <v>1.7924849711767539</v>
      </c>
      <c r="S680" s="32">
        <f t="shared" si="148"/>
        <v>81011</v>
      </c>
      <c r="T680" s="3">
        <f t="shared" si="146"/>
        <v>0</v>
      </c>
      <c r="U680" s="1" t="s">
        <v>3615</v>
      </c>
      <c r="V680" s="16">
        <v>1</v>
      </c>
      <c r="W680" s="28">
        <f t="shared" si="135"/>
        <v>1</v>
      </c>
      <c r="X680" s="27">
        <f t="shared" si="147"/>
        <v>1</v>
      </c>
      <c r="Y680" s="18"/>
      <c r="Z680" s="19"/>
    </row>
    <row r="681" spans="1:26" x14ac:dyDescent="0.35">
      <c r="A681" s="29">
        <v>1</v>
      </c>
      <c r="B681" s="1" t="s">
        <v>3624</v>
      </c>
      <c r="C681" s="1"/>
      <c r="D681" s="1" t="s">
        <v>3212</v>
      </c>
      <c r="E681" s="1" t="s">
        <v>3213</v>
      </c>
      <c r="F681" s="1" t="s">
        <v>3214</v>
      </c>
      <c r="G681" s="5" t="s">
        <v>3215</v>
      </c>
      <c r="H681" s="1" t="s">
        <v>17</v>
      </c>
      <c r="I681" s="2">
        <v>46086</v>
      </c>
      <c r="J681" s="33">
        <f t="shared" si="144"/>
        <v>101013</v>
      </c>
      <c r="K681" s="3">
        <v>9499</v>
      </c>
      <c r="L681" s="3">
        <v>82181</v>
      </c>
      <c r="M681" s="3">
        <v>8333</v>
      </c>
      <c r="N681" s="3">
        <v>0</v>
      </c>
      <c r="O681" s="3">
        <v>1000</v>
      </c>
      <c r="P681" s="1" t="s">
        <v>3216</v>
      </c>
      <c r="Q681" s="3">
        <v>232934</v>
      </c>
      <c r="R681" s="25">
        <f t="shared" si="145"/>
        <v>2.305980418361993</v>
      </c>
      <c r="S681" s="32">
        <f t="shared" si="148"/>
        <v>101013</v>
      </c>
      <c r="T681" s="3">
        <f t="shared" si="146"/>
        <v>0</v>
      </c>
      <c r="U681" s="1" t="s">
        <v>3615</v>
      </c>
      <c r="V681" s="16">
        <v>1</v>
      </c>
      <c r="W681" s="28">
        <f t="shared" si="135"/>
        <v>1</v>
      </c>
      <c r="X681" s="27">
        <f t="shared" si="147"/>
        <v>1</v>
      </c>
      <c r="Y681" s="18"/>
      <c r="Z681" s="19"/>
    </row>
    <row r="682" spans="1:26" x14ac:dyDescent="0.35">
      <c r="A682" s="29">
        <v>1</v>
      </c>
      <c r="B682" s="1" t="s">
        <v>3624</v>
      </c>
      <c r="C682" s="1"/>
      <c r="D682" s="1" t="s">
        <v>3092</v>
      </c>
      <c r="E682" s="1" t="s">
        <v>3093</v>
      </c>
      <c r="F682" s="1" t="s">
        <v>3094</v>
      </c>
      <c r="G682" s="5" t="s">
        <v>3095</v>
      </c>
      <c r="H682" s="1" t="s">
        <v>17</v>
      </c>
      <c r="I682" s="2">
        <v>46086</v>
      </c>
      <c r="J682" s="33">
        <f t="shared" si="144"/>
        <v>209084</v>
      </c>
      <c r="K682" s="3">
        <v>31328</v>
      </c>
      <c r="L682" s="3">
        <v>160089</v>
      </c>
      <c r="M682" s="3">
        <v>16667</v>
      </c>
      <c r="N682" s="3">
        <v>0</v>
      </c>
      <c r="O682" s="3">
        <v>1000</v>
      </c>
      <c r="P682" s="1" t="s">
        <v>3096</v>
      </c>
      <c r="Q682" s="3">
        <v>256514</v>
      </c>
      <c r="R682" s="25">
        <f t="shared" si="145"/>
        <v>1.2268466262363451</v>
      </c>
      <c r="S682" s="32">
        <f t="shared" si="148"/>
        <v>209084</v>
      </c>
      <c r="T682" s="3">
        <f t="shared" si="146"/>
        <v>0</v>
      </c>
      <c r="U682" s="1" t="s">
        <v>3615</v>
      </c>
      <c r="V682" s="16">
        <v>1</v>
      </c>
      <c r="W682" s="28">
        <f t="shared" si="135"/>
        <v>1</v>
      </c>
      <c r="X682" s="27">
        <f t="shared" si="147"/>
        <v>1</v>
      </c>
      <c r="Y682" s="18"/>
      <c r="Z682" s="19"/>
    </row>
    <row r="683" spans="1:26" x14ac:dyDescent="0.35">
      <c r="A683" s="29">
        <v>1</v>
      </c>
      <c r="B683" s="1" t="s">
        <v>3624</v>
      </c>
      <c r="C683" s="1"/>
      <c r="D683" s="1" t="s">
        <v>3072</v>
      </c>
      <c r="E683" s="1" t="s">
        <v>3073</v>
      </c>
      <c r="F683" s="1" t="s">
        <v>3074</v>
      </c>
      <c r="G683" s="5" t="s">
        <v>3075</v>
      </c>
      <c r="H683" s="1" t="s">
        <v>17</v>
      </c>
      <c r="I683" s="2">
        <v>46086</v>
      </c>
      <c r="J683" s="33">
        <f t="shared" si="144"/>
        <v>350195</v>
      </c>
      <c r="K683" s="3">
        <v>51421</v>
      </c>
      <c r="L683" s="3">
        <v>269996</v>
      </c>
      <c r="M683" s="3">
        <v>27778</v>
      </c>
      <c r="N683" s="3">
        <v>0</v>
      </c>
      <c r="O683" s="3">
        <v>1000</v>
      </c>
      <c r="P683" s="1" t="s">
        <v>3076</v>
      </c>
      <c r="Q683" s="3">
        <v>297403</v>
      </c>
      <c r="R683" s="25">
        <f t="shared" si="145"/>
        <v>0.84924970373648967</v>
      </c>
      <c r="S683" s="32">
        <f>Q683</f>
        <v>297403</v>
      </c>
      <c r="T683" s="31">
        <f t="shared" si="146"/>
        <v>-52792</v>
      </c>
      <c r="U683" s="1" t="s">
        <v>3616</v>
      </c>
      <c r="V683" s="16"/>
      <c r="W683" s="30">
        <f t="shared" si="135"/>
        <v>0</v>
      </c>
      <c r="X683" s="27">
        <f t="shared" si="147"/>
        <v>0.84924970373648967</v>
      </c>
      <c r="Y683" s="18"/>
      <c r="Z683" s="19"/>
    </row>
    <row r="684" spans="1:26" x14ac:dyDescent="0.35">
      <c r="A684" s="29">
        <v>1</v>
      </c>
      <c r="B684" s="1" t="s">
        <v>3624</v>
      </c>
      <c r="C684" s="1"/>
      <c r="D684" s="1" t="s">
        <v>3185</v>
      </c>
      <c r="E684" s="1" t="s">
        <v>3186</v>
      </c>
      <c r="F684" s="1" t="s">
        <v>3187</v>
      </c>
      <c r="G684" s="5" t="s">
        <v>3188</v>
      </c>
      <c r="H684" s="1" t="s">
        <v>17</v>
      </c>
      <c r="I684" s="2">
        <v>46086</v>
      </c>
      <c r="J684" s="33">
        <f t="shared" si="144"/>
        <v>51007</v>
      </c>
      <c r="K684" s="3">
        <v>4778</v>
      </c>
      <c r="L684" s="3">
        <v>41062</v>
      </c>
      <c r="M684" s="3">
        <v>4167</v>
      </c>
      <c r="N684" s="3">
        <v>0</v>
      </c>
      <c r="O684" s="3">
        <v>1000</v>
      </c>
      <c r="P684" s="1" t="s">
        <v>3189</v>
      </c>
      <c r="Q684" s="3">
        <v>78212</v>
      </c>
      <c r="R684" s="25">
        <f t="shared" si="145"/>
        <v>1.5333581665261631</v>
      </c>
      <c r="S684" s="32">
        <f>J684</f>
        <v>51007</v>
      </c>
      <c r="T684" s="3">
        <f t="shared" si="146"/>
        <v>0</v>
      </c>
      <c r="U684" s="1" t="s">
        <v>3615</v>
      </c>
      <c r="V684" s="16">
        <v>1</v>
      </c>
      <c r="W684" s="28">
        <f t="shared" si="135"/>
        <v>1</v>
      </c>
      <c r="X684" s="27">
        <f t="shared" si="147"/>
        <v>1</v>
      </c>
      <c r="Y684" s="18"/>
      <c r="Z684" s="19"/>
    </row>
    <row r="685" spans="1:26" x14ac:dyDescent="0.35">
      <c r="A685" s="29">
        <v>1</v>
      </c>
      <c r="B685" s="1" t="s">
        <v>3624</v>
      </c>
      <c r="C685" s="1"/>
      <c r="D685" s="1" t="s">
        <v>3195</v>
      </c>
      <c r="E685" s="1" t="s">
        <v>3196</v>
      </c>
      <c r="F685" s="1" t="s">
        <v>3197</v>
      </c>
      <c r="G685" s="5" t="s">
        <v>3198</v>
      </c>
      <c r="H685" s="1" t="s">
        <v>17</v>
      </c>
      <c r="I685" s="2">
        <v>46086</v>
      </c>
      <c r="J685" s="33">
        <f t="shared" si="144"/>
        <v>51007</v>
      </c>
      <c r="K685" s="3">
        <v>4774</v>
      </c>
      <c r="L685" s="3">
        <v>41066</v>
      </c>
      <c r="M685" s="3">
        <v>4167</v>
      </c>
      <c r="N685" s="3">
        <v>0</v>
      </c>
      <c r="O685" s="3">
        <v>1000</v>
      </c>
      <c r="P685" s="1" t="s">
        <v>3199</v>
      </c>
      <c r="Q685" s="3">
        <v>70160</v>
      </c>
      <c r="R685" s="25">
        <f t="shared" si="145"/>
        <v>1.3754974807379379</v>
      </c>
      <c r="S685" s="32">
        <f>J685</f>
        <v>51007</v>
      </c>
      <c r="T685" s="3">
        <f t="shared" si="146"/>
        <v>0</v>
      </c>
      <c r="U685" s="1" t="s">
        <v>3615</v>
      </c>
      <c r="V685" s="16">
        <v>1</v>
      </c>
      <c r="W685" s="28">
        <f t="shared" si="135"/>
        <v>1</v>
      </c>
      <c r="X685" s="27">
        <f t="shared" si="147"/>
        <v>1</v>
      </c>
      <c r="Y685" s="18"/>
      <c r="Z685" s="19"/>
    </row>
    <row r="686" spans="1:26" x14ac:dyDescent="0.35">
      <c r="A686" s="29">
        <v>1</v>
      </c>
      <c r="B686" s="1" t="s">
        <v>3624</v>
      </c>
      <c r="C686" s="1"/>
      <c r="D686" s="1" t="s">
        <v>3106</v>
      </c>
      <c r="E686" s="1" t="s">
        <v>3107</v>
      </c>
      <c r="F686" s="1" t="s">
        <v>3108</v>
      </c>
      <c r="G686" s="5" t="s">
        <v>3109</v>
      </c>
      <c r="H686" s="1" t="s">
        <v>17</v>
      </c>
      <c r="I686" s="2">
        <v>46086</v>
      </c>
      <c r="J686" s="33">
        <f t="shared" si="144"/>
        <v>245833</v>
      </c>
      <c r="K686" s="3">
        <v>31654</v>
      </c>
      <c r="L686" s="3">
        <v>193179</v>
      </c>
      <c r="M686" s="3">
        <v>20000</v>
      </c>
      <c r="N686" s="3">
        <v>0</v>
      </c>
      <c r="O686" s="3">
        <v>1000</v>
      </c>
      <c r="P686" s="1" t="s">
        <v>3110</v>
      </c>
      <c r="Q686" s="3">
        <v>32160</v>
      </c>
      <c r="R686" s="25">
        <f t="shared" si="145"/>
        <v>0.13082051636680186</v>
      </c>
      <c r="S686" s="32">
        <f>Q686</f>
        <v>32160</v>
      </c>
      <c r="T686" s="31">
        <f t="shared" si="146"/>
        <v>-213673</v>
      </c>
      <c r="U686" s="1" t="s">
        <v>3616</v>
      </c>
      <c r="V686" s="16"/>
      <c r="W686" s="30">
        <f t="shared" si="135"/>
        <v>0</v>
      </c>
      <c r="X686" s="27">
        <f t="shared" si="147"/>
        <v>0.13082051636680186</v>
      </c>
      <c r="Y686" s="18"/>
      <c r="Z686" s="19"/>
    </row>
    <row r="687" spans="1:26" x14ac:dyDescent="0.35">
      <c r="A687" s="29">
        <v>1</v>
      </c>
      <c r="B687" s="1" t="s">
        <v>3624</v>
      </c>
      <c r="C687" s="1"/>
      <c r="D687" s="1" t="s">
        <v>3248</v>
      </c>
      <c r="E687" s="1" t="s">
        <v>3249</v>
      </c>
      <c r="F687" s="1" t="s">
        <v>3250</v>
      </c>
      <c r="G687" s="5" t="s">
        <v>3251</v>
      </c>
      <c r="H687" s="1" t="s">
        <v>17</v>
      </c>
      <c r="I687" s="2">
        <v>46086</v>
      </c>
      <c r="J687" s="33">
        <f t="shared" si="144"/>
        <v>139723</v>
      </c>
      <c r="K687" s="3">
        <v>34521</v>
      </c>
      <c r="L687" s="3">
        <v>93091</v>
      </c>
      <c r="M687" s="3">
        <v>11111</v>
      </c>
      <c r="N687" s="3">
        <v>0</v>
      </c>
      <c r="O687" s="3">
        <v>1000</v>
      </c>
      <c r="P687" s="1" t="s">
        <v>3252</v>
      </c>
      <c r="Q687" s="3">
        <v>251368</v>
      </c>
      <c r="R687" s="25">
        <f t="shared" si="145"/>
        <v>1.7990452538236368</v>
      </c>
      <c r="S687" s="32">
        <f>J687</f>
        <v>139723</v>
      </c>
      <c r="T687" s="3">
        <f t="shared" si="146"/>
        <v>0</v>
      </c>
      <c r="U687" s="1" t="s">
        <v>3615</v>
      </c>
      <c r="V687" s="16">
        <v>1</v>
      </c>
      <c r="W687" s="28">
        <f t="shared" si="135"/>
        <v>1</v>
      </c>
      <c r="X687" s="27">
        <f t="shared" si="147"/>
        <v>1</v>
      </c>
      <c r="Y687" s="18"/>
      <c r="Z687" s="19"/>
    </row>
    <row r="688" spans="1:26" x14ac:dyDescent="0.35">
      <c r="A688" s="29">
        <v>1</v>
      </c>
      <c r="B688" s="1" t="s">
        <v>3624</v>
      </c>
      <c r="C688" s="1"/>
      <c r="D688" s="1" t="s">
        <v>3165</v>
      </c>
      <c r="E688" s="1" t="s">
        <v>3166</v>
      </c>
      <c r="F688" s="1" t="s">
        <v>3167</v>
      </c>
      <c r="G688" s="5" t="s">
        <v>3168</v>
      </c>
      <c r="H688" s="1" t="s">
        <v>467</v>
      </c>
      <c r="I688" s="2">
        <v>46086</v>
      </c>
      <c r="J688" s="33">
        <f t="shared" si="144"/>
        <v>54027</v>
      </c>
      <c r="K688" s="3">
        <v>3089</v>
      </c>
      <c r="L688" s="3">
        <v>49938</v>
      </c>
      <c r="M688" s="3">
        <v>0</v>
      </c>
      <c r="N688" s="3">
        <v>0</v>
      </c>
      <c r="O688" s="3">
        <v>1000</v>
      </c>
      <c r="P688" s="1" t="s">
        <v>3169</v>
      </c>
      <c r="Q688" s="3">
        <v>419048</v>
      </c>
      <c r="R688" s="25">
        <f t="shared" si="145"/>
        <v>7.7562700131415774</v>
      </c>
      <c r="S688" s="32">
        <f>J688</f>
        <v>54027</v>
      </c>
      <c r="T688" s="3">
        <f t="shared" si="146"/>
        <v>0</v>
      </c>
      <c r="U688" s="1" t="s">
        <v>3615</v>
      </c>
      <c r="V688" s="16">
        <v>1</v>
      </c>
      <c r="W688" s="28">
        <f t="shared" si="135"/>
        <v>1</v>
      </c>
      <c r="X688" s="27">
        <f t="shared" si="147"/>
        <v>1</v>
      </c>
      <c r="Y688" s="18"/>
      <c r="Z688" s="19"/>
    </row>
    <row r="689" spans="1:26" x14ac:dyDescent="0.35">
      <c r="A689" s="29">
        <v>1</v>
      </c>
      <c r="B689" s="1" t="s">
        <v>3624</v>
      </c>
      <c r="C689" s="1"/>
      <c r="D689" s="1" t="s">
        <v>3067</v>
      </c>
      <c r="E689" s="1" t="s">
        <v>3068</v>
      </c>
      <c r="F689" s="1" t="s">
        <v>3069</v>
      </c>
      <c r="G689" s="5" t="s">
        <v>3070</v>
      </c>
      <c r="H689" s="1" t="s">
        <v>17</v>
      </c>
      <c r="I689" s="2">
        <v>46086</v>
      </c>
      <c r="J689" s="33">
        <f t="shared" si="144"/>
        <v>101013</v>
      </c>
      <c r="K689" s="3">
        <v>7324</v>
      </c>
      <c r="L689" s="3">
        <v>84356</v>
      </c>
      <c r="M689" s="3">
        <v>8333</v>
      </c>
      <c r="N689" s="3">
        <v>0</v>
      </c>
      <c r="O689" s="3">
        <v>1000</v>
      </c>
      <c r="P689" s="1" t="s">
        <v>3071</v>
      </c>
      <c r="Q689" s="3">
        <v>137844</v>
      </c>
      <c r="R689" s="25">
        <f t="shared" si="145"/>
        <v>1.3646164355083008</v>
      </c>
      <c r="S689" s="32">
        <f>J689</f>
        <v>101013</v>
      </c>
      <c r="T689" s="3">
        <f t="shared" si="146"/>
        <v>0</v>
      </c>
      <c r="U689" s="1" t="s">
        <v>3615</v>
      </c>
      <c r="V689" s="16">
        <v>1</v>
      </c>
      <c r="W689" s="28">
        <f t="shared" si="135"/>
        <v>1</v>
      </c>
      <c r="X689" s="27">
        <f t="shared" si="147"/>
        <v>1</v>
      </c>
      <c r="Y689" s="18"/>
      <c r="Z689" s="19"/>
    </row>
    <row r="690" spans="1:26" x14ac:dyDescent="0.35">
      <c r="A690" s="29">
        <v>1</v>
      </c>
      <c r="B690" s="1" t="s">
        <v>3624</v>
      </c>
      <c r="C690" s="1"/>
      <c r="D690" s="1" t="s">
        <v>3190</v>
      </c>
      <c r="E690" s="1" t="s">
        <v>3191</v>
      </c>
      <c r="F690" s="1" t="s">
        <v>3192</v>
      </c>
      <c r="G690" s="5" t="s">
        <v>3193</v>
      </c>
      <c r="H690" s="1" t="s">
        <v>467</v>
      </c>
      <c r="I690" s="2">
        <v>46086</v>
      </c>
      <c r="J690" s="33">
        <f t="shared" si="144"/>
        <v>22401</v>
      </c>
      <c r="K690" s="3">
        <v>1426</v>
      </c>
      <c r="L690" s="3">
        <v>19975</v>
      </c>
      <c r="M690" s="3">
        <v>0</v>
      </c>
      <c r="N690" s="3">
        <v>0</v>
      </c>
      <c r="O690" s="3">
        <v>1000</v>
      </c>
      <c r="P690" s="1" t="s">
        <v>3194</v>
      </c>
      <c r="Q690" s="3">
        <v>71623</v>
      </c>
      <c r="R690" s="25">
        <f t="shared" si="145"/>
        <v>3.1973126199723225</v>
      </c>
      <c r="S690" s="32">
        <f>J690</f>
        <v>22401</v>
      </c>
      <c r="T690" s="3">
        <f t="shared" si="146"/>
        <v>0</v>
      </c>
      <c r="U690" s="1" t="s">
        <v>3615</v>
      </c>
      <c r="V690" s="16">
        <v>1</v>
      </c>
      <c r="W690" s="28">
        <f t="shared" si="135"/>
        <v>1</v>
      </c>
      <c r="X690" s="27">
        <f t="shared" si="147"/>
        <v>1</v>
      </c>
      <c r="Y690" s="18"/>
      <c r="Z690" s="19"/>
    </row>
    <row r="691" spans="1:26" x14ac:dyDescent="0.35">
      <c r="A691" s="29">
        <v>1</v>
      </c>
      <c r="B691" s="1" t="s">
        <v>3624</v>
      </c>
      <c r="C691" s="1"/>
      <c r="D691" s="1" t="s">
        <v>3034</v>
      </c>
      <c r="E691" s="1" t="s">
        <v>3035</v>
      </c>
      <c r="F691" s="1" t="s">
        <v>3036</v>
      </c>
      <c r="G691" s="5" t="s">
        <v>3037</v>
      </c>
      <c r="H691" s="1" t="s">
        <v>17</v>
      </c>
      <c r="I691" s="2">
        <v>46086</v>
      </c>
      <c r="J691" s="33">
        <f t="shared" si="144"/>
        <v>101490</v>
      </c>
      <c r="K691" s="3">
        <v>8848</v>
      </c>
      <c r="L691" s="3">
        <v>83309</v>
      </c>
      <c r="M691" s="3">
        <v>8333</v>
      </c>
      <c r="N691" s="3">
        <v>0</v>
      </c>
      <c r="O691" s="3">
        <v>1000</v>
      </c>
      <c r="P691" s="1" t="s">
        <v>3038</v>
      </c>
      <c r="Q691" s="3">
        <v>112857</v>
      </c>
      <c r="R691" s="25">
        <f t="shared" si="145"/>
        <v>1.1120011823825007</v>
      </c>
      <c r="S691" s="32">
        <f>J691</f>
        <v>101490</v>
      </c>
      <c r="T691" s="3">
        <f t="shared" si="146"/>
        <v>0</v>
      </c>
      <c r="U691" s="1" t="s">
        <v>3615</v>
      </c>
      <c r="V691" s="16">
        <v>1</v>
      </c>
      <c r="W691" s="28">
        <f t="shared" si="135"/>
        <v>1</v>
      </c>
      <c r="X691" s="27">
        <f t="shared" si="147"/>
        <v>1</v>
      </c>
      <c r="Y691" s="18"/>
      <c r="Z691" s="19"/>
    </row>
    <row r="692" spans="1:26" x14ac:dyDescent="0.35">
      <c r="A692" s="29">
        <v>1</v>
      </c>
      <c r="B692" s="1" t="s">
        <v>3624</v>
      </c>
      <c r="C692" s="1"/>
      <c r="D692" s="1" t="s">
        <v>3175</v>
      </c>
      <c r="E692" s="1" t="s">
        <v>3176</v>
      </c>
      <c r="F692" s="1" t="s">
        <v>3177</v>
      </c>
      <c r="G692" s="5" t="s">
        <v>3178</v>
      </c>
      <c r="H692" s="1" t="s">
        <v>17</v>
      </c>
      <c r="I692" s="2">
        <v>46086</v>
      </c>
      <c r="J692" s="33">
        <f t="shared" si="144"/>
        <v>31004</v>
      </c>
      <c r="K692" s="3">
        <v>2873</v>
      </c>
      <c r="L692" s="3">
        <v>24631</v>
      </c>
      <c r="M692" s="3">
        <v>2500</v>
      </c>
      <c r="N692" s="3">
        <v>0</v>
      </c>
      <c r="O692" s="3">
        <v>1000</v>
      </c>
      <c r="P692" s="1" t="s">
        <v>3179</v>
      </c>
      <c r="Q692" s="3">
        <v>-1000</v>
      </c>
      <c r="R692" s="25">
        <f t="shared" si="145"/>
        <v>-3.2253902722229388E-2</v>
      </c>
      <c r="S692" s="32">
        <v>0</v>
      </c>
      <c r="T692" s="31">
        <f t="shared" si="146"/>
        <v>-31004</v>
      </c>
      <c r="U692" s="1" t="s">
        <v>3616</v>
      </c>
      <c r="V692" s="16"/>
      <c r="W692" s="30">
        <f t="shared" si="135"/>
        <v>0</v>
      </c>
      <c r="X692" s="27">
        <f t="shared" si="147"/>
        <v>0</v>
      </c>
      <c r="Y692" s="18"/>
      <c r="Z692" s="19"/>
    </row>
    <row r="693" spans="1:26" x14ac:dyDescent="0.35">
      <c r="A693" s="29">
        <v>1</v>
      </c>
      <c r="B693" s="1" t="s">
        <v>3624</v>
      </c>
      <c r="C693" s="1"/>
      <c r="D693" s="1" t="s">
        <v>3160</v>
      </c>
      <c r="E693" s="1" t="s">
        <v>3161</v>
      </c>
      <c r="F693" s="1" t="s">
        <v>3162</v>
      </c>
      <c r="G693" s="5" t="s">
        <v>3163</v>
      </c>
      <c r="H693" s="1" t="s">
        <v>17</v>
      </c>
      <c r="I693" s="2">
        <v>46086</v>
      </c>
      <c r="J693" s="33">
        <f t="shared" si="144"/>
        <v>175598</v>
      </c>
      <c r="K693" s="3">
        <v>29589</v>
      </c>
      <c r="L693" s="3">
        <v>131120</v>
      </c>
      <c r="M693" s="3">
        <v>13889</v>
      </c>
      <c r="N693" s="3">
        <v>0</v>
      </c>
      <c r="O693" s="3">
        <v>1000</v>
      </c>
      <c r="P693" s="1" t="s">
        <v>3164</v>
      </c>
      <c r="Q693" s="3">
        <v>279916</v>
      </c>
      <c r="R693" s="25">
        <f t="shared" si="145"/>
        <v>1.5940728254308136</v>
      </c>
      <c r="S693" s="32">
        <f>J693</f>
        <v>175598</v>
      </c>
      <c r="T693" s="3">
        <f t="shared" si="146"/>
        <v>0</v>
      </c>
      <c r="U693" s="1" t="s">
        <v>3615</v>
      </c>
      <c r="V693" s="16">
        <v>1</v>
      </c>
      <c r="W693" s="28">
        <f t="shared" si="135"/>
        <v>1</v>
      </c>
      <c r="X693" s="27">
        <f t="shared" si="147"/>
        <v>1</v>
      </c>
      <c r="Y693" s="18"/>
      <c r="Z693" s="19"/>
    </row>
    <row r="694" spans="1:26" x14ac:dyDescent="0.35">
      <c r="A694" s="29">
        <v>1</v>
      </c>
      <c r="B694" s="1" t="s">
        <v>3624</v>
      </c>
      <c r="C694" s="1"/>
      <c r="D694" s="1" t="s">
        <v>3077</v>
      </c>
      <c r="E694" s="1" t="s">
        <v>3078</v>
      </c>
      <c r="F694" s="1" t="s">
        <v>3079</v>
      </c>
      <c r="G694" s="5" t="s">
        <v>3080</v>
      </c>
      <c r="H694" s="1" t="s">
        <v>17</v>
      </c>
      <c r="I694" s="2">
        <v>46086</v>
      </c>
      <c r="J694" s="33">
        <f t="shared" si="144"/>
        <v>252224</v>
      </c>
      <c r="K694" s="3">
        <v>19348</v>
      </c>
      <c r="L694" s="3">
        <v>211043</v>
      </c>
      <c r="M694" s="3">
        <v>20833</v>
      </c>
      <c r="N694" s="3">
        <v>0</v>
      </c>
      <c r="O694" s="3">
        <v>1000</v>
      </c>
      <c r="P694" s="1" t="s">
        <v>3081</v>
      </c>
      <c r="Q694" s="3">
        <v>77863</v>
      </c>
      <c r="R694" s="25">
        <f t="shared" si="145"/>
        <v>0.30870575361583352</v>
      </c>
      <c r="S694" s="32">
        <f>Q694</f>
        <v>77863</v>
      </c>
      <c r="T694" s="31">
        <f t="shared" si="146"/>
        <v>-174361</v>
      </c>
      <c r="U694" s="1" t="s">
        <v>3616</v>
      </c>
      <c r="V694" s="16"/>
      <c r="W694" s="30">
        <f t="shared" si="135"/>
        <v>0</v>
      </c>
      <c r="X694" s="27">
        <f t="shared" si="147"/>
        <v>0.30870575361583352</v>
      </c>
      <c r="Y694" s="18"/>
      <c r="Z694" s="19"/>
    </row>
    <row r="695" spans="1:26" x14ac:dyDescent="0.35">
      <c r="A695" s="29">
        <v>1</v>
      </c>
      <c r="B695" s="1" t="s">
        <v>3624</v>
      </c>
      <c r="C695" s="1"/>
      <c r="D695" s="1" t="s">
        <v>3044</v>
      </c>
      <c r="E695" s="1" t="s">
        <v>3045</v>
      </c>
      <c r="F695" s="1" t="s">
        <v>3046</v>
      </c>
      <c r="G695" s="5" t="s">
        <v>3047</v>
      </c>
      <c r="H695" s="1" t="s">
        <v>467</v>
      </c>
      <c r="I695" s="2">
        <v>46086</v>
      </c>
      <c r="J695" s="33">
        <f t="shared" si="144"/>
        <v>22401</v>
      </c>
      <c r="K695" s="3">
        <v>1432</v>
      </c>
      <c r="L695" s="3">
        <v>19969</v>
      </c>
      <c r="M695" s="3">
        <v>0</v>
      </c>
      <c r="N695" s="3">
        <v>0</v>
      </c>
      <c r="O695" s="3">
        <v>1000</v>
      </c>
      <c r="P695" s="1" t="s">
        <v>3048</v>
      </c>
      <c r="Q695" s="3">
        <v>32004</v>
      </c>
      <c r="R695" s="25">
        <f t="shared" si="145"/>
        <v>1.428686219365207</v>
      </c>
      <c r="S695" s="32">
        <f>J695</f>
        <v>22401</v>
      </c>
      <c r="T695" s="3">
        <f t="shared" si="146"/>
        <v>0</v>
      </c>
      <c r="U695" s="1" t="s">
        <v>3615</v>
      </c>
      <c r="V695" s="16">
        <v>1</v>
      </c>
      <c r="W695" s="28">
        <f t="shared" si="135"/>
        <v>1</v>
      </c>
      <c r="X695" s="27">
        <f t="shared" si="147"/>
        <v>1</v>
      </c>
      <c r="Y695" s="18"/>
      <c r="Z695" s="19"/>
    </row>
    <row r="696" spans="1:26" x14ac:dyDescent="0.35">
      <c r="A696" s="29">
        <v>1</v>
      </c>
      <c r="B696" s="1" t="s">
        <v>3624</v>
      </c>
      <c r="C696" s="1"/>
      <c r="D696" s="1" t="s">
        <v>3087</v>
      </c>
      <c r="E696" s="1" t="s">
        <v>3088</v>
      </c>
      <c r="F696" s="1" t="s">
        <v>3089</v>
      </c>
      <c r="G696" s="5" t="s">
        <v>3090</v>
      </c>
      <c r="H696" s="1" t="s">
        <v>17</v>
      </c>
      <c r="I696" s="2">
        <v>46086</v>
      </c>
      <c r="J696" s="33">
        <f t="shared" si="144"/>
        <v>302470</v>
      </c>
      <c r="K696" s="3">
        <v>23118</v>
      </c>
      <c r="L696" s="3">
        <v>253352</v>
      </c>
      <c r="M696" s="3">
        <v>25000</v>
      </c>
      <c r="N696" s="3">
        <v>0</v>
      </c>
      <c r="O696" s="3">
        <v>1000</v>
      </c>
      <c r="P696" s="1" t="s">
        <v>3091</v>
      </c>
      <c r="Q696" s="3">
        <v>396100</v>
      </c>
      <c r="R696" s="25">
        <f t="shared" si="145"/>
        <v>1.3095513604655007</v>
      </c>
      <c r="S696" s="32">
        <f>J696</f>
        <v>302470</v>
      </c>
      <c r="T696" s="3">
        <f t="shared" si="146"/>
        <v>0</v>
      </c>
      <c r="U696" s="1" t="s">
        <v>3615</v>
      </c>
      <c r="V696" s="16">
        <v>1</v>
      </c>
      <c r="W696" s="28">
        <f t="shared" si="135"/>
        <v>1</v>
      </c>
      <c r="X696" s="27">
        <f t="shared" si="147"/>
        <v>1</v>
      </c>
      <c r="Y696" s="18"/>
      <c r="Z696" s="19"/>
    </row>
    <row r="697" spans="1:26" x14ac:dyDescent="0.35">
      <c r="A697" s="29">
        <v>1</v>
      </c>
      <c r="B697" s="1" t="s">
        <v>3624</v>
      </c>
      <c r="C697" s="1"/>
      <c r="D697" s="1" t="s">
        <v>3170</v>
      </c>
      <c r="E697" s="1" t="s">
        <v>3171</v>
      </c>
      <c r="F697" s="1" t="s">
        <v>3172</v>
      </c>
      <c r="G697" s="5" t="s">
        <v>3173</v>
      </c>
      <c r="H697" s="1" t="s">
        <v>467</v>
      </c>
      <c r="I697" s="2">
        <v>46086</v>
      </c>
      <c r="J697" s="33">
        <f t="shared" si="144"/>
        <v>22401</v>
      </c>
      <c r="K697" s="3">
        <v>1429</v>
      </c>
      <c r="L697" s="3">
        <v>19972</v>
      </c>
      <c r="M697" s="3">
        <v>0</v>
      </c>
      <c r="N697" s="3">
        <v>0</v>
      </c>
      <c r="O697" s="3">
        <v>1000</v>
      </c>
      <c r="P697" s="1" t="s">
        <v>3174</v>
      </c>
      <c r="Q697" s="3">
        <v>97397</v>
      </c>
      <c r="R697" s="25">
        <f t="shared" si="145"/>
        <v>4.3478862550778983</v>
      </c>
      <c r="S697" s="32">
        <f>J697</f>
        <v>22401</v>
      </c>
      <c r="T697" s="3">
        <f t="shared" si="146"/>
        <v>0</v>
      </c>
      <c r="U697" s="1" t="s">
        <v>3615</v>
      </c>
      <c r="V697" s="16">
        <v>1</v>
      </c>
      <c r="W697" s="28">
        <f t="shared" si="135"/>
        <v>1</v>
      </c>
      <c r="X697" s="27">
        <f t="shared" si="147"/>
        <v>1</v>
      </c>
      <c r="Y697" s="18"/>
      <c r="Z697" s="19"/>
    </row>
    <row r="698" spans="1:26" x14ac:dyDescent="0.35">
      <c r="A698" s="29">
        <v>1</v>
      </c>
      <c r="B698" s="1" t="s">
        <v>3624</v>
      </c>
      <c r="C698" s="1"/>
      <c r="D698" s="1" t="s">
        <v>3239</v>
      </c>
      <c r="E698" s="1" t="s">
        <v>3240</v>
      </c>
      <c r="F698" s="1" t="s">
        <v>3241</v>
      </c>
      <c r="G698" s="5" t="s">
        <v>3242</v>
      </c>
      <c r="H698" s="1" t="s">
        <v>17</v>
      </c>
      <c r="I698" s="2">
        <v>46086</v>
      </c>
      <c r="J698" s="33">
        <f t="shared" si="144"/>
        <v>252224</v>
      </c>
      <c r="K698" s="3">
        <v>28072</v>
      </c>
      <c r="L698" s="3">
        <v>202319</v>
      </c>
      <c r="M698" s="3">
        <v>20833</v>
      </c>
      <c r="N698" s="3">
        <v>0</v>
      </c>
      <c r="O698" s="3">
        <v>1000</v>
      </c>
      <c r="P698" s="1" t="s">
        <v>3243</v>
      </c>
      <c r="Q698" s="3">
        <v>425742</v>
      </c>
      <c r="R698" s="25">
        <f t="shared" si="145"/>
        <v>1.6879519791930981</v>
      </c>
      <c r="S698" s="32">
        <f>J698</f>
        <v>252224</v>
      </c>
      <c r="T698" s="3">
        <f t="shared" si="146"/>
        <v>0</v>
      </c>
      <c r="U698" s="1" t="s">
        <v>3615</v>
      </c>
      <c r="V698" s="16">
        <v>1</v>
      </c>
      <c r="W698" s="28">
        <f t="shared" si="135"/>
        <v>1</v>
      </c>
      <c r="X698" s="27">
        <f t="shared" si="147"/>
        <v>1</v>
      </c>
      <c r="Y698" s="18"/>
      <c r="Z698" s="19"/>
    </row>
    <row r="699" spans="1:26" x14ac:dyDescent="0.35">
      <c r="A699" s="29">
        <v>1</v>
      </c>
      <c r="B699" s="1" t="s">
        <v>3624</v>
      </c>
      <c r="C699" s="1"/>
      <c r="D699" s="1" t="s">
        <v>3124</v>
      </c>
      <c r="E699" s="1" t="s">
        <v>3125</v>
      </c>
      <c r="F699" s="1" t="s">
        <v>3126</v>
      </c>
      <c r="G699" s="5" t="s">
        <v>3127</v>
      </c>
      <c r="H699" s="1" t="s">
        <v>17</v>
      </c>
      <c r="I699" s="2">
        <v>46086</v>
      </c>
      <c r="J699" s="33">
        <f t="shared" si="144"/>
        <v>101490</v>
      </c>
      <c r="K699" s="3">
        <v>12372</v>
      </c>
      <c r="L699" s="3">
        <v>79785</v>
      </c>
      <c r="M699" s="3">
        <v>8333</v>
      </c>
      <c r="N699" s="3">
        <v>0</v>
      </c>
      <c r="O699" s="3">
        <v>1000</v>
      </c>
      <c r="P699" s="1" t="s">
        <v>3128</v>
      </c>
      <c r="Q699" s="3">
        <v>447520</v>
      </c>
      <c r="R699" s="25">
        <f t="shared" si="145"/>
        <v>4.4094984727559368</v>
      </c>
      <c r="S699" s="32">
        <f>J699</f>
        <v>101490</v>
      </c>
      <c r="T699" s="3">
        <f t="shared" si="146"/>
        <v>0</v>
      </c>
      <c r="U699" s="1" t="s">
        <v>3615</v>
      </c>
      <c r="V699" s="16">
        <v>1</v>
      </c>
      <c r="W699" s="28">
        <f t="shared" si="135"/>
        <v>1</v>
      </c>
      <c r="X699" s="27">
        <f t="shared" si="147"/>
        <v>1</v>
      </c>
      <c r="Y699" s="18"/>
      <c r="Z699" s="19"/>
    </row>
    <row r="700" spans="1:26" x14ac:dyDescent="0.35">
      <c r="A700" s="29">
        <v>1</v>
      </c>
      <c r="B700" s="1" t="s">
        <v>3624</v>
      </c>
      <c r="C700" s="1"/>
      <c r="D700" s="1" t="s">
        <v>3082</v>
      </c>
      <c r="E700" s="1" t="s">
        <v>3083</v>
      </c>
      <c r="F700" s="1" t="s">
        <v>3084</v>
      </c>
      <c r="G700" s="5" t="s">
        <v>3085</v>
      </c>
      <c r="H700" s="1" t="s">
        <v>17</v>
      </c>
      <c r="I700" s="2">
        <v>46086</v>
      </c>
      <c r="J700" s="33">
        <f t="shared" si="144"/>
        <v>51245</v>
      </c>
      <c r="K700" s="3">
        <v>3870</v>
      </c>
      <c r="L700" s="3">
        <v>42208</v>
      </c>
      <c r="M700" s="3">
        <v>4167</v>
      </c>
      <c r="N700" s="3">
        <v>0</v>
      </c>
      <c r="O700" s="3">
        <v>1000</v>
      </c>
      <c r="P700" s="1" t="s">
        <v>3086</v>
      </c>
      <c r="Q700" s="3">
        <v>0</v>
      </c>
      <c r="R700" s="25">
        <f t="shared" si="145"/>
        <v>0</v>
      </c>
      <c r="S700" s="32">
        <f>Q700</f>
        <v>0</v>
      </c>
      <c r="T700" s="31">
        <f t="shared" si="146"/>
        <v>-51245</v>
      </c>
      <c r="U700" s="1" t="s">
        <v>3616</v>
      </c>
      <c r="V700" s="16"/>
      <c r="W700" s="30">
        <f t="shared" si="135"/>
        <v>0</v>
      </c>
      <c r="X700" s="27">
        <f t="shared" si="147"/>
        <v>0</v>
      </c>
      <c r="Y700" s="18"/>
      <c r="Z700" s="19"/>
    </row>
    <row r="701" spans="1:26" x14ac:dyDescent="0.35">
      <c r="A701" s="29">
        <v>1</v>
      </c>
      <c r="B701" s="1" t="s">
        <v>3624</v>
      </c>
      <c r="C701" s="1"/>
      <c r="D701" s="1" t="s">
        <v>3129</v>
      </c>
      <c r="E701" s="1" t="s">
        <v>3130</v>
      </c>
      <c r="F701" s="1" t="s">
        <v>3131</v>
      </c>
      <c r="G701" s="5" t="s">
        <v>3132</v>
      </c>
      <c r="H701" s="1" t="s">
        <v>17</v>
      </c>
      <c r="I701" s="2">
        <v>46086</v>
      </c>
      <c r="J701" s="33">
        <f t="shared" si="144"/>
        <v>101490</v>
      </c>
      <c r="K701" s="3">
        <v>8904</v>
      </c>
      <c r="L701" s="3">
        <v>83253</v>
      </c>
      <c r="M701" s="3">
        <v>8333</v>
      </c>
      <c r="N701" s="3">
        <v>0</v>
      </c>
      <c r="O701" s="3">
        <v>1000</v>
      </c>
      <c r="P701" s="1" t="s">
        <v>3133</v>
      </c>
      <c r="Q701" s="3">
        <v>133061</v>
      </c>
      <c r="R701" s="25">
        <f t="shared" si="145"/>
        <v>1.3110749827569219</v>
      </c>
      <c r="S701" s="32">
        <f>J701</f>
        <v>101490</v>
      </c>
      <c r="T701" s="3">
        <f t="shared" si="146"/>
        <v>0</v>
      </c>
      <c r="U701" s="1" t="s">
        <v>3615</v>
      </c>
      <c r="V701" s="16">
        <v>1</v>
      </c>
      <c r="W701" s="28">
        <f t="shared" si="135"/>
        <v>1</v>
      </c>
      <c r="X701" s="27">
        <f t="shared" si="147"/>
        <v>1</v>
      </c>
      <c r="Y701" s="18"/>
      <c r="Z701" s="19"/>
    </row>
    <row r="702" spans="1:26" x14ac:dyDescent="0.35">
      <c r="A702" s="29">
        <v>1</v>
      </c>
      <c r="B702" s="1" t="s">
        <v>3624</v>
      </c>
      <c r="C702" s="1"/>
      <c r="D702" s="1" t="s">
        <v>3119</v>
      </c>
      <c r="E702" s="1" t="s">
        <v>3120</v>
      </c>
      <c r="F702" s="1" t="s">
        <v>3121</v>
      </c>
      <c r="G702" s="5" t="s">
        <v>3122</v>
      </c>
      <c r="H702" s="1" t="s">
        <v>17</v>
      </c>
      <c r="I702" s="2">
        <v>46086</v>
      </c>
      <c r="J702" s="33">
        <f t="shared" si="144"/>
        <v>51007</v>
      </c>
      <c r="K702" s="3">
        <v>5893</v>
      </c>
      <c r="L702" s="3">
        <v>39947</v>
      </c>
      <c r="M702" s="3">
        <v>4167</v>
      </c>
      <c r="N702" s="3">
        <v>0</v>
      </c>
      <c r="O702" s="3">
        <v>1000</v>
      </c>
      <c r="P702" s="1" t="s">
        <v>3123</v>
      </c>
      <c r="Q702" s="3">
        <v>90486</v>
      </c>
      <c r="R702" s="25">
        <f t="shared" si="145"/>
        <v>1.7739918050463661</v>
      </c>
      <c r="S702" s="32">
        <f>J702</f>
        <v>51007</v>
      </c>
      <c r="T702" s="3">
        <f t="shared" si="146"/>
        <v>0</v>
      </c>
      <c r="U702" s="1" t="s">
        <v>3615</v>
      </c>
      <c r="V702" s="16">
        <v>1</v>
      </c>
      <c r="W702" s="28">
        <f t="shared" si="135"/>
        <v>1</v>
      </c>
      <c r="X702" s="27">
        <f t="shared" si="147"/>
        <v>1</v>
      </c>
      <c r="Y702" s="18"/>
      <c r="Z702" s="19"/>
    </row>
    <row r="703" spans="1:26" x14ac:dyDescent="0.35">
      <c r="A703" s="29">
        <v>1</v>
      </c>
      <c r="B703" s="1" t="s">
        <v>3624</v>
      </c>
      <c r="C703" s="1"/>
      <c r="D703" s="1" t="s">
        <v>3101</v>
      </c>
      <c r="E703" s="1" t="s">
        <v>3102</v>
      </c>
      <c r="F703" s="1" t="s">
        <v>3103</v>
      </c>
      <c r="G703" s="5" t="s">
        <v>3104</v>
      </c>
      <c r="H703" s="1" t="s">
        <v>467</v>
      </c>
      <c r="I703" s="2">
        <v>46086</v>
      </c>
      <c r="J703" s="33">
        <f t="shared" si="144"/>
        <v>108003</v>
      </c>
      <c r="K703" s="3">
        <v>5940</v>
      </c>
      <c r="L703" s="3">
        <v>101063</v>
      </c>
      <c r="M703" s="3">
        <v>0</v>
      </c>
      <c r="N703" s="3">
        <v>0</v>
      </c>
      <c r="O703" s="3">
        <v>1000</v>
      </c>
      <c r="P703" s="1" t="s">
        <v>3105</v>
      </c>
      <c r="Q703" s="3">
        <v>252516</v>
      </c>
      <c r="R703" s="25">
        <f t="shared" si="145"/>
        <v>2.338046165384295</v>
      </c>
      <c r="S703" s="32">
        <f>J703</f>
        <v>108003</v>
      </c>
      <c r="T703" s="3">
        <f t="shared" si="146"/>
        <v>0</v>
      </c>
      <c r="U703" s="1" t="s">
        <v>3615</v>
      </c>
      <c r="V703" s="16">
        <v>1</v>
      </c>
      <c r="W703" s="28">
        <f t="shared" si="135"/>
        <v>1</v>
      </c>
      <c r="X703" s="27">
        <f t="shared" si="147"/>
        <v>1</v>
      </c>
      <c r="Y703" s="18"/>
      <c r="Z703" s="19"/>
    </row>
    <row r="704" spans="1:26" x14ac:dyDescent="0.35">
      <c r="A704" s="29">
        <v>1</v>
      </c>
      <c r="B704" s="1" t="s">
        <v>3624</v>
      </c>
      <c r="C704" s="1"/>
      <c r="D704" s="1" t="s">
        <v>3049</v>
      </c>
      <c r="E704" s="1" t="s">
        <v>3050</v>
      </c>
      <c r="F704" s="1" t="s">
        <v>3051</v>
      </c>
      <c r="G704" s="5" t="s">
        <v>3052</v>
      </c>
      <c r="H704" s="1" t="s">
        <v>17</v>
      </c>
      <c r="I704" s="2">
        <v>46086</v>
      </c>
      <c r="J704" s="33">
        <f t="shared" si="144"/>
        <v>51007</v>
      </c>
      <c r="K704" s="3">
        <v>4753</v>
      </c>
      <c r="L704" s="3">
        <v>41087</v>
      </c>
      <c r="M704" s="3">
        <v>4167</v>
      </c>
      <c r="N704" s="3">
        <v>0</v>
      </c>
      <c r="O704" s="3">
        <v>1000</v>
      </c>
      <c r="P704" s="1" t="s">
        <v>3053</v>
      </c>
      <c r="Q704" s="3">
        <v>159981</v>
      </c>
      <c r="R704" s="25">
        <f t="shared" si="145"/>
        <v>3.1364518595486892</v>
      </c>
      <c r="S704" s="32">
        <f>J704</f>
        <v>51007</v>
      </c>
      <c r="T704" s="3">
        <f t="shared" si="146"/>
        <v>0</v>
      </c>
      <c r="U704" s="1" t="s">
        <v>3615</v>
      </c>
      <c r="V704" s="16">
        <v>1</v>
      </c>
      <c r="W704" s="28">
        <f t="shared" si="135"/>
        <v>1</v>
      </c>
      <c r="X704" s="27">
        <f t="shared" si="147"/>
        <v>1</v>
      </c>
      <c r="Y704" s="18"/>
      <c r="Z704" s="19"/>
    </row>
    <row r="705" spans="1:26" x14ac:dyDescent="0.35">
      <c r="A705" s="29">
        <v>1</v>
      </c>
      <c r="B705" s="1" t="s">
        <v>3624</v>
      </c>
      <c r="C705" s="1"/>
      <c r="D705" s="1" t="s">
        <v>3039</v>
      </c>
      <c r="E705" s="1" t="s">
        <v>3040</v>
      </c>
      <c r="F705" s="1" t="s">
        <v>3041</v>
      </c>
      <c r="G705" s="5" t="s">
        <v>3042</v>
      </c>
      <c r="H705" s="1" t="s">
        <v>17</v>
      </c>
      <c r="I705" s="2">
        <v>46086</v>
      </c>
      <c r="J705" s="33">
        <f t="shared" si="144"/>
        <v>165174</v>
      </c>
      <c r="K705" s="3">
        <v>18623</v>
      </c>
      <c r="L705" s="3">
        <v>132218</v>
      </c>
      <c r="M705" s="3">
        <v>13333</v>
      </c>
      <c r="N705" s="3">
        <v>0</v>
      </c>
      <c r="O705" s="3">
        <v>1000</v>
      </c>
      <c r="P705" s="1" t="s">
        <v>3043</v>
      </c>
      <c r="Q705" s="3">
        <v>72616</v>
      </c>
      <c r="R705" s="25">
        <f t="shared" si="145"/>
        <v>0.43963335633937545</v>
      </c>
      <c r="S705" s="32">
        <f>Q705</f>
        <v>72616</v>
      </c>
      <c r="T705" s="31">
        <f t="shared" si="146"/>
        <v>-92558</v>
      </c>
      <c r="U705" s="1" t="s">
        <v>3616</v>
      </c>
      <c r="V705" s="16"/>
      <c r="W705" s="30">
        <f t="shared" si="135"/>
        <v>0</v>
      </c>
      <c r="X705" s="27">
        <f t="shared" si="147"/>
        <v>0.43963335633937545</v>
      </c>
      <c r="Y705" s="18"/>
      <c r="Z705" s="19"/>
    </row>
    <row r="706" spans="1:26" x14ac:dyDescent="0.35">
      <c r="A706" s="29">
        <v>1</v>
      </c>
      <c r="B706" s="1" t="s">
        <v>3624</v>
      </c>
      <c r="C706" s="1"/>
      <c r="D706" s="1" t="s">
        <v>3063</v>
      </c>
      <c r="E706" s="1" t="s">
        <v>3064</v>
      </c>
      <c r="F706" s="1" t="s">
        <v>21</v>
      </c>
      <c r="G706" s="5" t="s">
        <v>3065</v>
      </c>
      <c r="H706" s="1" t="s">
        <v>17</v>
      </c>
      <c r="I706" s="2">
        <v>46086</v>
      </c>
      <c r="J706" s="33">
        <f t="shared" si="144"/>
        <v>101490</v>
      </c>
      <c r="K706" s="3">
        <v>7788</v>
      </c>
      <c r="L706" s="3">
        <v>84369</v>
      </c>
      <c r="M706" s="3">
        <v>8333</v>
      </c>
      <c r="N706" s="3">
        <v>0</v>
      </c>
      <c r="O706" s="3">
        <v>1000</v>
      </c>
      <c r="P706" s="1" t="s">
        <v>3066</v>
      </c>
      <c r="Q706" s="3">
        <v>151024</v>
      </c>
      <c r="R706" s="25">
        <f t="shared" si="145"/>
        <v>1.4880677899300423</v>
      </c>
      <c r="S706" s="32">
        <f>J706</f>
        <v>101490</v>
      </c>
      <c r="T706" s="3">
        <f t="shared" si="146"/>
        <v>0</v>
      </c>
      <c r="U706" s="1" t="s">
        <v>3615</v>
      </c>
      <c r="V706" s="16">
        <v>1</v>
      </c>
      <c r="W706" s="28">
        <f t="shared" si="135"/>
        <v>1</v>
      </c>
      <c r="X706" s="27">
        <f t="shared" si="147"/>
        <v>1</v>
      </c>
      <c r="Y706" s="18"/>
      <c r="Z706" s="19"/>
    </row>
    <row r="707" spans="1:26" x14ac:dyDescent="0.35">
      <c r="A707" s="29">
        <v>1</v>
      </c>
      <c r="B707" s="1" t="s">
        <v>3624</v>
      </c>
      <c r="C707" s="1"/>
      <c r="D707" s="1" t="s">
        <v>3030</v>
      </c>
      <c r="E707" s="1" t="s">
        <v>3031</v>
      </c>
      <c r="F707" s="1" t="s">
        <v>21</v>
      </c>
      <c r="G707" s="5" t="s">
        <v>3032</v>
      </c>
      <c r="H707" s="1" t="s">
        <v>17</v>
      </c>
      <c r="I707" s="2">
        <v>46086</v>
      </c>
      <c r="J707" s="33">
        <f t="shared" ref="J707:J738" si="149">SUM(K707:O707)</f>
        <v>70362</v>
      </c>
      <c r="K707" s="3">
        <v>10356</v>
      </c>
      <c r="L707" s="3">
        <v>53450</v>
      </c>
      <c r="M707" s="3">
        <v>5556</v>
      </c>
      <c r="N707" s="3">
        <v>0</v>
      </c>
      <c r="O707" s="3">
        <v>1000</v>
      </c>
      <c r="P707" s="1" t="s">
        <v>3033</v>
      </c>
      <c r="Q707" s="3">
        <v>664870</v>
      </c>
      <c r="R707" s="25">
        <f t="shared" ref="R707:R738" si="150">Q707/J707</f>
        <v>9.449276598163781</v>
      </c>
      <c r="S707" s="32">
        <f>J707</f>
        <v>70362</v>
      </c>
      <c r="T707" s="3">
        <f t="shared" ref="T707:T738" si="151">S707-J707</f>
        <v>0</v>
      </c>
      <c r="U707" s="1" t="s">
        <v>3615</v>
      </c>
      <c r="V707" s="16">
        <v>1</v>
      </c>
      <c r="W707" s="28">
        <f t="shared" ref="W707:W770" si="152">V707/A707</f>
        <v>1</v>
      </c>
      <c r="X707" s="27">
        <f t="shared" ref="X707:X723" si="153">S707/J707</f>
        <v>1</v>
      </c>
      <c r="Y707" s="18"/>
      <c r="Z707" s="19"/>
    </row>
    <row r="708" spans="1:26" x14ac:dyDescent="0.35">
      <c r="A708" s="29">
        <v>1</v>
      </c>
      <c r="B708" s="1" t="s">
        <v>3624</v>
      </c>
      <c r="C708" s="1"/>
      <c r="D708" s="1" t="s">
        <v>3054</v>
      </c>
      <c r="E708" s="1" t="s">
        <v>3055</v>
      </c>
      <c r="F708" s="1" t="s">
        <v>21</v>
      </c>
      <c r="G708" s="5" t="s">
        <v>3056</v>
      </c>
      <c r="H708" s="1" t="s">
        <v>17</v>
      </c>
      <c r="I708" s="2">
        <v>46086</v>
      </c>
      <c r="J708" s="33">
        <f t="shared" si="149"/>
        <v>81011</v>
      </c>
      <c r="K708" s="3">
        <v>5853</v>
      </c>
      <c r="L708" s="3">
        <v>67491</v>
      </c>
      <c r="M708" s="3">
        <v>6667</v>
      </c>
      <c r="N708" s="3">
        <v>0</v>
      </c>
      <c r="O708" s="3">
        <v>1000</v>
      </c>
      <c r="P708" s="1" t="s">
        <v>3057</v>
      </c>
      <c r="Q708" s="3">
        <v>161934</v>
      </c>
      <c r="R708" s="25">
        <f t="shared" si="150"/>
        <v>1.9989137277653652</v>
      </c>
      <c r="S708" s="32">
        <f>J708</f>
        <v>81011</v>
      </c>
      <c r="T708" s="3">
        <f t="shared" si="151"/>
        <v>0</v>
      </c>
      <c r="U708" s="1" t="s">
        <v>3615</v>
      </c>
      <c r="V708" s="16">
        <v>1</v>
      </c>
      <c r="W708" s="28">
        <f t="shared" si="152"/>
        <v>1</v>
      </c>
      <c r="X708" s="27">
        <f t="shared" si="153"/>
        <v>1</v>
      </c>
      <c r="Y708" s="18"/>
      <c r="Z708" s="19"/>
    </row>
    <row r="709" spans="1:26" x14ac:dyDescent="0.35">
      <c r="A709" s="29">
        <v>1</v>
      </c>
      <c r="B709" s="1" t="s">
        <v>3624</v>
      </c>
      <c r="C709" s="1"/>
      <c r="D709" s="1" t="s">
        <v>3156</v>
      </c>
      <c r="E709" s="1" t="s">
        <v>3157</v>
      </c>
      <c r="F709" s="1" t="s">
        <v>21</v>
      </c>
      <c r="G709" s="5" t="s">
        <v>3158</v>
      </c>
      <c r="H709" s="1" t="s">
        <v>17</v>
      </c>
      <c r="I709" s="2">
        <v>46086</v>
      </c>
      <c r="J709" s="33">
        <f t="shared" si="149"/>
        <v>101490</v>
      </c>
      <c r="K709" s="3">
        <v>8848</v>
      </c>
      <c r="L709" s="3">
        <v>83309</v>
      </c>
      <c r="M709" s="3">
        <v>8333</v>
      </c>
      <c r="N709" s="3">
        <v>0</v>
      </c>
      <c r="O709" s="3">
        <v>1000</v>
      </c>
      <c r="P709" s="1" t="s">
        <v>3159</v>
      </c>
      <c r="Q709" s="3">
        <v>253215</v>
      </c>
      <c r="R709" s="25">
        <f t="shared" si="150"/>
        <v>2.4949748743718594</v>
      </c>
      <c r="S709" s="32">
        <f>J709</f>
        <v>101490</v>
      </c>
      <c r="T709" s="3">
        <f t="shared" si="151"/>
        <v>0</v>
      </c>
      <c r="U709" s="1" t="s">
        <v>3615</v>
      </c>
      <c r="V709" s="16">
        <v>1</v>
      </c>
      <c r="W709" s="28">
        <f t="shared" si="152"/>
        <v>1</v>
      </c>
      <c r="X709" s="27">
        <f t="shared" si="153"/>
        <v>1</v>
      </c>
      <c r="Y709" s="18"/>
      <c r="Z709" s="19"/>
    </row>
    <row r="710" spans="1:26" x14ac:dyDescent="0.35">
      <c r="A710" s="29">
        <v>1</v>
      </c>
      <c r="B710" s="1" t="s">
        <v>3624</v>
      </c>
      <c r="C710" s="1"/>
      <c r="D710" s="1" t="s">
        <v>3115</v>
      </c>
      <c r="E710" s="1" t="s">
        <v>3116</v>
      </c>
      <c r="F710" s="1" t="s">
        <v>21</v>
      </c>
      <c r="G710" s="5" t="s">
        <v>3117</v>
      </c>
      <c r="H710" s="1" t="s">
        <v>17</v>
      </c>
      <c r="I710" s="2">
        <v>46086</v>
      </c>
      <c r="J710" s="33">
        <f t="shared" si="149"/>
        <v>302470</v>
      </c>
      <c r="K710" s="3">
        <v>37371</v>
      </c>
      <c r="L710" s="3">
        <v>239099</v>
      </c>
      <c r="M710" s="3">
        <v>25000</v>
      </c>
      <c r="N710" s="3">
        <v>0</v>
      </c>
      <c r="O710" s="3">
        <v>1000</v>
      </c>
      <c r="P710" s="1" t="s">
        <v>3118</v>
      </c>
      <c r="Q710" s="3">
        <v>406964</v>
      </c>
      <c r="R710" s="25">
        <f t="shared" si="150"/>
        <v>1.3454689721294675</v>
      </c>
      <c r="S710" s="32">
        <f>J710</f>
        <v>302470</v>
      </c>
      <c r="T710" s="3">
        <f t="shared" si="151"/>
        <v>0</v>
      </c>
      <c r="U710" s="1" t="s">
        <v>3615</v>
      </c>
      <c r="V710" s="16">
        <v>1</v>
      </c>
      <c r="W710" s="28">
        <f t="shared" si="152"/>
        <v>1</v>
      </c>
      <c r="X710" s="27">
        <f t="shared" si="153"/>
        <v>1</v>
      </c>
      <c r="Y710" s="18"/>
      <c r="Z710" s="19"/>
    </row>
    <row r="711" spans="1:26" x14ac:dyDescent="0.35">
      <c r="A711" s="29">
        <v>1</v>
      </c>
      <c r="B711" s="1" t="s">
        <v>3624</v>
      </c>
      <c r="C711" s="1"/>
      <c r="D711" s="1" t="s">
        <v>3217</v>
      </c>
      <c r="E711" s="1" t="s">
        <v>3218</v>
      </c>
      <c r="F711" s="1" t="s">
        <v>21</v>
      </c>
      <c r="G711" s="5" t="s">
        <v>3219</v>
      </c>
      <c r="H711" s="1" t="s">
        <v>17</v>
      </c>
      <c r="I711" s="2">
        <v>46086</v>
      </c>
      <c r="J711" s="33">
        <f t="shared" si="149"/>
        <v>51245</v>
      </c>
      <c r="K711" s="3">
        <v>5618</v>
      </c>
      <c r="L711" s="3">
        <v>40460</v>
      </c>
      <c r="M711" s="3">
        <v>4167</v>
      </c>
      <c r="N711" s="3">
        <v>0</v>
      </c>
      <c r="O711" s="3">
        <v>1000</v>
      </c>
      <c r="P711" s="1" t="s">
        <v>3220</v>
      </c>
      <c r="Q711" s="3">
        <v>32763</v>
      </c>
      <c r="R711" s="25">
        <f t="shared" si="150"/>
        <v>0.63934042345594688</v>
      </c>
      <c r="S711" s="32">
        <f>Q711</f>
        <v>32763</v>
      </c>
      <c r="T711" s="31">
        <f t="shared" si="151"/>
        <v>-18482</v>
      </c>
      <c r="U711" s="1" t="s">
        <v>3616</v>
      </c>
      <c r="V711" s="16"/>
      <c r="W711" s="30">
        <f t="shared" si="152"/>
        <v>0</v>
      </c>
      <c r="X711" s="27">
        <f t="shared" si="153"/>
        <v>0.63934042345594688</v>
      </c>
      <c r="Y711" s="18"/>
      <c r="Z711" s="19"/>
    </row>
    <row r="712" spans="1:26" x14ac:dyDescent="0.35">
      <c r="A712" s="29">
        <v>1</v>
      </c>
      <c r="B712" s="1" t="s">
        <v>3624</v>
      </c>
      <c r="C712" s="1"/>
      <c r="D712" s="1" t="s">
        <v>3139</v>
      </c>
      <c r="E712" s="1" t="s">
        <v>3140</v>
      </c>
      <c r="F712" s="1" t="s">
        <v>21</v>
      </c>
      <c r="G712" s="5" t="s">
        <v>3141</v>
      </c>
      <c r="H712" s="1" t="s">
        <v>17</v>
      </c>
      <c r="I712" s="2">
        <v>46086</v>
      </c>
      <c r="J712" s="33">
        <f t="shared" si="149"/>
        <v>101490</v>
      </c>
      <c r="K712" s="3">
        <v>8904</v>
      </c>
      <c r="L712" s="3">
        <v>83253</v>
      </c>
      <c r="M712" s="3">
        <v>8333</v>
      </c>
      <c r="N712" s="3">
        <v>0</v>
      </c>
      <c r="O712" s="3">
        <v>1000</v>
      </c>
      <c r="P712" s="1" t="s">
        <v>3142</v>
      </c>
      <c r="Q712" s="3">
        <v>131188</v>
      </c>
      <c r="R712" s="25">
        <f t="shared" si="150"/>
        <v>1.2926199625578876</v>
      </c>
      <c r="S712" s="32">
        <f>J712</f>
        <v>101490</v>
      </c>
      <c r="T712" s="3">
        <f t="shared" si="151"/>
        <v>0</v>
      </c>
      <c r="U712" s="1" t="s">
        <v>3615</v>
      </c>
      <c r="V712" s="16">
        <v>1</v>
      </c>
      <c r="W712" s="28">
        <f t="shared" si="152"/>
        <v>1</v>
      </c>
      <c r="X712" s="27">
        <f t="shared" si="153"/>
        <v>1</v>
      </c>
      <c r="Y712" s="18"/>
      <c r="Z712" s="19"/>
    </row>
    <row r="713" spans="1:26" x14ac:dyDescent="0.35">
      <c r="A713" s="29">
        <v>1</v>
      </c>
      <c r="B713" s="1" t="s">
        <v>3624</v>
      </c>
      <c r="C713" s="1"/>
      <c r="D713" s="1" t="s">
        <v>3097</v>
      </c>
      <c r="E713" s="1" t="s">
        <v>3098</v>
      </c>
      <c r="F713" s="1" t="s">
        <v>21</v>
      </c>
      <c r="G713" s="5" t="s">
        <v>3099</v>
      </c>
      <c r="H713" s="1" t="s">
        <v>17</v>
      </c>
      <c r="I713" s="2">
        <v>46086</v>
      </c>
      <c r="J713" s="33">
        <f t="shared" si="149"/>
        <v>252224</v>
      </c>
      <c r="K713" s="3">
        <v>22261</v>
      </c>
      <c r="L713" s="3">
        <v>208130</v>
      </c>
      <c r="M713" s="3">
        <v>20833</v>
      </c>
      <c r="N713" s="3">
        <v>0</v>
      </c>
      <c r="O713" s="3">
        <v>1000</v>
      </c>
      <c r="P713" s="1" t="s">
        <v>3100</v>
      </c>
      <c r="Q713" s="3">
        <v>638562</v>
      </c>
      <c r="R713" s="25">
        <f t="shared" si="150"/>
        <v>2.5317257675716824</v>
      </c>
      <c r="S713" s="32">
        <f>J713</f>
        <v>252224</v>
      </c>
      <c r="T713" s="3">
        <f t="shared" si="151"/>
        <v>0</v>
      </c>
      <c r="U713" s="1" t="s">
        <v>3615</v>
      </c>
      <c r="V713" s="16">
        <v>1</v>
      </c>
      <c r="W713" s="28">
        <f t="shared" si="152"/>
        <v>1</v>
      </c>
      <c r="X713" s="27">
        <f t="shared" si="153"/>
        <v>1</v>
      </c>
      <c r="Y713" s="18"/>
      <c r="Z713" s="19"/>
    </row>
    <row r="714" spans="1:26" x14ac:dyDescent="0.35">
      <c r="A714" s="29">
        <v>1</v>
      </c>
      <c r="B714" s="1" t="s">
        <v>3624</v>
      </c>
      <c r="C714" s="1"/>
      <c r="D714" s="1" t="s">
        <v>3152</v>
      </c>
      <c r="E714" s="1" t="s">
        <v>3153</v>
      </c>
      <c r="F714" s="1" t="s">
        <v>21</v>
      </c>
      <c r="G714" s="5" t="s">
        <v>3154</v>
      </c>
      <c r="H714" s="1" t="s">
        <v>17</v>
      </c>
      <c r="I714" s="2">
        <v>46086</v>
      </c>
      <c r="J714" s="33">
        <f t="shared" si="149"/>
        <v>51007</v>
      </c>
      <c r="K714" s="3">
        <v>4204</v>
      </c>
      <c r="L714" s="3">
        <v>41636</v>
      </c>
      <c r="M714" s="3">
        <v>4167</v>
      </c>
      <c r="N714" s="3">
        <v>0</v>
      </c>
      <c r="O714" s="3">
        <v>1000</v>
      </c>
      <c r="P714" s="1" t="s">
        <v>3155</v>
      </c>
      <c r="Q714" s="3">
        <v>132296</v>
      </c>
      <c r="R714" s="25">
        <f t="shared" si="150"/>
        <v>2.5936832199502029</v>
      </c>
      <c r="S714" s="32">
        <f>J714</f>
        <v>51007</v>
      </c>
      <c r="T714" s="3">
        <f t="shared" si="151"/>
        <v>0</v>
      </c>
      <c r="U714" s="1" t="s">
        <v>3615</v>
      </c>
      <c r="V714" s="16">
        <v>1</v>
      </c>
      <c r="W714" s="28">
        <f t="shared" si="152"/>
        <v>1</v>
      </c>
      <c r="X714" s="27">
        <f t="shared" si="153"/>
        <v>1</v>
      </c>
      <c r="Y714" s="18"/>
      <c r="Z714" s="19"/>
    </row>
    <row r="715" spans="1:26" x14ac:dyDescent="0.35">
      <c r="A715" s="29">
        <v>1</v>
      </c>
      <c r="B715" s="1" t="s">
        <v>3624</v>
      </c>
      <c r="C715" s="1"/>
      <c r="D715" s="1" t="s">
        <v>3200</v>
      </c>
      <c r="E715" s="1" t="s">
        <v>3201</v>
      </c>
      <c r="F715" s="1" t="s">
        <v>21</v>
      </c>
      <c r="G715" s="5" t="s">
        <v>3202</v>
      </c>
      <c r="H715" s="1" t="s">
        <v>17</v>
      </c>
      <c r="I715" s="2">
        <v>46086</v>
      </c>
      <c r="J715" s="33">
        <f t="shared" si="149"/>
        <v>51007</v>
      </c>
      <c r="K715" s="3">
        <v>4760</v>
      </c>
      <c r="L715" s="3">
        <v>41080</v>
      </c>
      <c r="M715" s="3">
        <v>4167</v>
      </c>
      <c r="N715" s="3">
        <v>0</v>
      </c>
      <c r="O715" s="3">
        <v>1000</v>
      </c>
      <c r="P715" s="1" t="s">
        <v>3203</v>
      </c>
      <c r="Q715" s="3">
        <v>32137</v>
      </c>
      <c r="R715" s="25">
        <f t="shared" si="150"/>
        <v>0.63005077734428605</v>
      </c>
      <c r="S715" s="32">
        <f>Q715</f>
        <v>32137</v>
      </c>
      <c r="T715" s="31">
        <f t="shared" si="151"/>
        <v>-18870</v>
      </c>
      <c r="U715" s="1" t="s">
        <v>3616</v>
      </c>
      <c r="V715" s="16"/>
      <c r="W715" s="30">
        <f t="shared" si="152"/>
        <v>0</v>
      </c>
      <c r="X715" s="27">
        <f t="shared" si="153"/>
        <v>0.63005077734428605</v>
      </c>
      <c r="Y715" s="18"/>
      <c r="Z715" s="19"/>
    </row>
    <row r="716" spans="1:26" x14ac:dyDescent="0.35">
      <c r="A716" s="29">
        <v>1</v>
      </c>
      <c r="B716" s="1" t="s">
        <v>3624</v>
      </c>
      <c r="C716" s="1"/>
      <c r="D716" s="1" t="s">
        <v>3204</v>
      </c>
      <c r="E716" s="1" t="s">
        <v>3205</v>
      </c>
      <c r="F716" s="1" t="s">
        <v>21</v>
      </c>
      <c r="G716" s="5" t="s">
        <v>3206</v>
      </c>
      <c r="H716" s="1" t="s">
        <v>17</v>
      </c>
      <c r="I716" s="2">
        <v>46086</v>
      </c>
      <c r="J716" s="33">
        <f t="shared" si="149"/>
        <v>31004</v>
      </c>
      <c r="K716" s="3">
        <v>2856</v>
      </c>
      <c r="L716" s="3">
        <v>24648</v>
      </c>
      <c r="M716" s="3">
        <v>2500</v>
      </c>
      <c r="N716" s="3">
        <v>0</v>
      </c>
      <c r="O716" s="3">
        <v>1000</v>
      </c>
      <c r="P716" s="1" t="s">
        <v>3207</v>
      </c>
      <c r="Q716" s="3">
        <v>25483</v>
      </c>
      <c r="R716" s="25">
        <f t="shared" si="150"/>
        <v>0.82192620307057151</v>
      </c>
      <c r="S716" s="32">
        <f>Q716</f>
        <v>25483</v>
      </c>
      <c r="T716" s="31">
        <f t="shared" si="151"/>
        <v>-5521</v>
      </c>
      <c r="U716" s="1" t="s">
        <v>3616</v>
      </c>
      <c r="V716" s="16"/>
      <c r="W716" s="30">
        <f t="shared" si="152"/>
        <v>0</v>
      </c>
      <c r="X716" s="27">
        <f t="shared" si="153"/>
        <v>0.82192620307057151</v>
      </c>
      <c r="Y716" s="18"/>
      <c r="Z716" s="19"/>
    </row>
    <row r="717" spans="1:26" x14ac:dyDescent="0.35">
      <c r="A717" s="29">
        <v>1</v>
      </c>
      <c r="B717" s="1" t="s">
        <v>3624</v>
      </c>
      <c r="C717" s="1"/>
      <c r="D717" s="1" t="s">
        <v>3208</v>
      </c>
      <c r="E717" s="1" t="s">
        <v>3209</v>
      </c>
      <c r="F717" s="1" t="s">
        <v>21</v>
      </c>
      <c r="G717" s="5" t="s">
        <v>3210</v>
      </c>
      <c r="H717" s="1" t="s">
        <v>17</v>
      </c>
      <c r="I717" s="2">
        <v>46086</v>
      </c>
      <c r="J717" s="33">
        <f t="shared" si="149"/>
        <v>51007</v>
      </c>
      <c r="K717" s="3">
        <v>4760</v>
      </c>
      <c r="L717" s="3">
        <v>41080</v>
      </c>
      <c r="M717" s="3">
        <v>4167</v>
      </c>
      <c r="N717" s="3">
        <v>0</v>
      </c>
      <c r="O717" s="3">
        <v>1000</v>
      </c>
      <c r="P717" s="1" t="s">
        <v>3211</v>
      </c>
      <c r="Q717" s="3">
        <v>32137</v>
      </c>
      <c r="R717" s="25">
        <f t="shared" si="150"/>
        <v>0.63005077734428605</v>
      </c>
      <c r="S717" s="32">
        <f>Q717</f>
        <v>32137</v>
      </c>
      <c r="T717" s="31">
        <f t="shared" si="151"/>
        <v>-18870</v>
      </c>
      <c r="U717" s="1" t="s">
        <v>3616</v>
      </c>
      <c r="V717" s="16"/>
      <c r="W717" s="30">
        <f t="shared" si="152"/>
        <v>0</v>
      </c>
      <c r="X717" s="27">
        <f t="shared" si="153"/>
        <v>0.63005077734428605</v>
      </c>
      <c r="Y717" s="18"/>
      <c r="Z717" s="19"/>
    </row>
    <row r="718" spans="1:26" x14ac:dyDescent="0.35">
      <c r="A718" s="29">
        <v>1</v>
      </c>
      <c r="B718" s="1" t="s">
        <v>3624</v>
      </c>
      <c r="C718" s="1"/>
      <c r="D718" s="1" t="s">
        <v>3148</v>
      </c>
      <c r="E718" s="1" t="s">
        <v>3149</v>
      </c>
      <c r="F718" s="1" t="s">
        <v>21</v>
      </c>
      <c r="G718" s="5" t="s">
        <v>3150</v>
      </c>
      <c r="H718" s="1" t="s">
        <v>17</v>
      </c>
      <c r="I718" s="2">
        <v>46086</v>
      </c>
      <c r="J718" s="33">
        <f t="shared" si="149"/>
        <v>51007</v>
      </c>
      <c r="K718" s="3">
        <v>4204</v>
      </c>
      <c r="L718" s="3">
        <v>41636</v>
      </c>
      <c r="M718" s="3">
        <v>4167</v>
      </c>
      <c r="N718" s="3">
        <v>0</v>
      </c>
      <c r="O718" s="3">
        <v>1000</v>
      </c>
      <c r="P718" s="1" t="s">
        <v>3151</v>
      </c>
      <c r="Q718" s="3">
        <v>126291</v>
      </c>
      <c r="R718" s="25">
        <f t="shared" si="150"/>
        <v>2.4759542807849901</v>
      </c>
      <c r="S718" s="32">
        <f t="shared" ref="S718:S723" si="154">J718</f>
        <v>51007</v>
      </c>
      <c r="T718" s="3">
        <f t="shared" si="151"/>
        <v>0</v>
      </c>
      <c r="U718" s="1" t="s">
        <v>3615</v>
      </c>
      <c r="V718" s="16">
        <v>1</v>
      </c>
      <c r="W718" s="28">
        <f t="shared" si="152"/>
        <v>1</v>
      </c>
      <c r="X718" s="27">
        <f t="shared" si="153"/>
        <v>1</v>
      </c>
      <c r="Y718" s="18"/>
      <c r="Z718" s="19"/>
    </row>
    <row r="719" spans="1:26" x14ac:dyDescent="0.35">
      <c r="A719" s="29">
        <v>1</v>
      </c>
      <c r="B719" s="1" t="s">
        <v>3624</v>
      </c>
      <c r="C719" s="1"/>
      <c r="D719" s="1" t="s">
        <v>3244</v>
      </c>
      <c r="E719" s="1" t="s">
        <v>3245</v>
      </c>
      <c r="F719" s="1" t="s">
        <v>21</v>
      </c>
      <c r="G719" s="5" t="s">
        <v>3246</v>
      </c>
      <c r="H719" s="1" t="s">
        <v>17</v>
      </c>
      <c r="I719" s="2">
        <v>46086</v>
      </c>
      <c r="J719" s="33">
        <f t="shared" si="149"/>
        <v>21003</v>
      </c>
      <c r="K719" s="3">
        <v>2339</v>
      </c>
      <c r="L719" s="3">
        <v>15997</v>
      </c>
      <c r="M719" s="3">
        <v>1667</v>
      </c>
      <c r="N719" s="3">
        <v>0</v>
      </c>
      <c r="O719" s="3">
        <v>1000</v>
      </c>
      <c r="P719" s="1" t="s">
        <v>3247</v>
      </c>
      <c r="Q719" s="3">
        <v>34991</v>
      </c>
      <c r="R719" s="25">
        <f t="shared" si="150"/>
        <v>1.6660000952244918</v>
      </c>
      <c r="S719" s="32">
        <f t="shared" si="154"/>
        <v>21003</v>
      </c>
      <c r="T719" s="3">
        <f t="shared" si="151"/>
        <v>0</v>
      </c>
      <c r="U719" s="1" t="s">
        <v>3615</v>
      </c>
      <c r="V719" s="16">
        <v>1</v>
      </c>
      <c r="W719" s="28">
        <f t="shared" si="152"/>
        <v>1</v>
      </c>
      <c r="X719" s="27">
        <f t="shared" si="153"/>
        <v>1</v>
      </c>
      <c r="Y719" s="18"/>
      <c r="Z719" s="19"/>
    </row>
    <row r="720" spans="1:26" x14ac:dyDescent="0.35">
      <c r="A720" s="29">
        <v>1</v>
      </c>
      <c r="B720" s="1" t="s">
        <v>3624</v>
      </c>
      <c r="C720" s="1"/>
      <c r="D720" s="1" t="s">
        <v>3111</v>
      </c>
      <c r="E720" s="1" t="s">
        <v>3112</v>
      </c>
      <c r="F720" s="1" t="s">
        <v>21</v>
      </c>
      <c r="G720" s="5" t="s">
        <v>3113</v>
      </c>
      <c r="H720" s="1" t="s">
        <v>17</v>
      </c>
      <c r="I720" s="2">
        <v>46086</v>
      </c>
      <c r="J720" s="33">
        <f t="shared" si="149"/>
        <v>101013</v>
      </c>
      <c r="K720" s="3">
        <v>11807</v>
      </c>
      <c r="L720" s="3">
        <v>79873</v>
      </c>
      <c r="M720" s="3">
        <v>8333</v>
      </c>
      <c r="N720" s="3">
        <v>0</v>
      </c>
      <c r="O720" s="3">
        <v>1000</v>
      </c>
      <c r="P720" s="1" t="s">
        <v>3114</v>
      </c>
      <c r="Q720" s="3">
        <v>395956</v>
      </c>
      <c r="R720" s="25">
        <f t="shared" si="150"/>
        <v>3.9198519002504626</v>
      </c>
      <c r="S720" s="32">
        <f t="shared" si="154"/>
        <v>101013</v>
      </c>
      <c r="T720" s="3">
        <f t="shared" si="151"/>
        <v>0</v>
      </c>
      <c r="U720" s="1" t="s">
        <v>3615</v>
      </c>
      <c r="V720" s="16">
        <v>1</v>
      </c>
      <c r="W720" s="28">
        <f t="shared" si="152"/>
        <v>1</v>
      </c>
      <c r="X720" s="27">
        <f t="shared" si="153"/>
        <v>1</v>
      </c>
      <c r="Y720" s="18"/>
      <c r="Z720" s="19"/>
    </row>
    <row r="721" spans="1:26" x14ac:dyDescent="0.35">
      <c r="A721" s="29">
        <v>1</v>
      </c>
      <c r="B721" s="1" t="s">
        <v>3624</v>
      </c>
      <c r="C721" s="1"/>
      <c r="D721" s="1" t="s">
        <v>3235</v>
      </c>
      <c r="E721" s="1" t="s">
        <v>3236</v>
      </c>
      <c r="F721" s="1" t="s">
        <v>21</v>
      </c>
      <c r="G721" s="5" t="s">
        <v>3237</v>
      </c>
      <c r="H721" s="1" t="s">
        <v>17</v>
      </c>
      <c r="I721" s="2">
        <v>46086</v>
      </c>
      <c r="J721" s="33">
        <f t="shared" si="149"/>
        <v>101013</v>
      </c>
      <c r="K721" s="3">
        <v>9556</v>
      </c>
      <c r="L721" s="3">
        <v>82124</v>
      </c>
      <c r="M721" s="3">
        <v>8333</v>
      </c>
      <c r="N721" s="3">
        <v>0</v>
      </c>
      <c r="O721" s="3">
        <v>1000</v>
      </c>
      <c r="P721" s="1" t="s">
        <v>3238</v>
      </c>
      <c r="Q721" s="3">
        <v>175080</v>
      </c>
      <c r="R721" s="25">
        <f t="shared" si="150"/>
        <v>1.7332422559472542</v>
      </c>
      <c r="S721" s="32">
        <f t="shared" si="154"/>
        <v>101013</v>
      </c>
      <c r="T721" s="3">
        <f t="shared" si="151"/>
        <v>0</v>
      </c>
      <c r="U721" s="1" t="s">
        <v>3615</v>
      </c>
      <c r="V721" s="16">
        <v>1</v>
      </c>
      <c r="W721" s="28">
        <f t="shared" si="152"/>
        <v>1</v>
      </c>
      <c r="X721" s="27">
        <f t="shared" si="153"/>
        <v>1</v>
      </c>
      <c r="Y721" s="18"/>
      <c r="Z721" s="19"/>
    </row>
    <row r="722" spans="1:26" x14ac:dyDescent="0.35">
      <c r="A722" s="29">
        <v>1</v>
      </c>
      <c r="B722" s="1" t="s">
        <v>3624</v>
      </c>
      <c r="C722" s="1"/>
      <c r="D722" s="1" t="s">
        <v>3221</v>
      </c>
      <c r="E722" s="1" t="s">
        <v>3222</v>
      </c>
      <c r="F722" s="1" t="s">
        <v>21</v>
      </c>
      <c r="G722" s="5" t="s">
        <v>3223</v>
      </c>
      <c r="H722" s="1" t="s">
        <v>17</v>
      </c>
      <c r="I722" s="2">
        <v>46086</v>
      </c>
      <c r="J722" s="33">
        <f t="shared" si="149"/>
        <v>51245</v>
      </c>
      <c r="K722" s="3">
        <v>6209</v>
      </c>
      <c r="L722" s="3">
        <v>39869</v>
      </c>
      <c r="M722" s="3">
        <v>4167</v>
      </c>
      <c r="N722" s="3">
        <v>0</v>
      </c>
      <c r="O722" s="3">
        <v>1000</v>
      </c>
      <c r="P722" s="1" t="s">
        <v>3224</v>
      </c>
      <c r="Q722" s="3">
        <v>96500</v>
      </c>
      <c r="R722" s="25">
        <f t="shared" si="150"/>
        <v>1.8831105473704752</v>
      </c>
      <c r="S722" s="32">
        <f t="shared" si="154"/>
        <v>51245</v>
      </c>
      <c r="T722" s="3">
        <f t="shared" si="151"/>
        <v>0</v>
      </c>
      <c r="U722" s="1" t="s">
        <v>3615</v>
      </c>
      <c r="V722" s="16">
        <v>1</v>
      </c>
      <c r="W722" s="28">
        <f t="shared" si="152"/>
        <v>1</v>
      </c>
      <c r="X722" s="27">
        <f t="shared" si="153"/>
        <v>1</v>
      </c>
      <c r="Y722" s="18"/>
      <c r="Z722" s="19"/>
    </row>
    <row r="723" spans="1:26" x14ac:dyDescent="0.35">
      <c r="A723" s="29">
        <v>1</v>
      </c>
      <c r="B723" s="1" t="s">
        <v>3624</v>
      </c>
      <c r="C723" s="1"/>
      <c r="D723" s="1" t="s">
        <v>3253</v>
      </c>
      <c r="E723" s="1" t="s">
        <v>3254</v>
      </c>
      <c r="F723" s="1" t="s">
        <v>21</v>
      </c>
      <c r="G723" s="5" t="s">
        <v>3255</v>
      </c>
      <c r="H723" s="1" t="s">
        <v>17</v>
      </c>
      <c r="I723" s="2">
        <v>46086</v>
      </c>
      <c r="J723" s="33">
        <f t="shared" si="149"/>
        <v>101013</v>
      </c>
      <c r="K723" s="3">
        <v>17260</v>
      </c>
      <c r="L723" s="3">
        <v>74420</v>
      </c>
      <c r="M723" s="3">
        <v>8333</v>
      </c>
      <c r="N723" s="3">
        <v>0</v>
      </c>
      <c r="O723" s="3">
        <v>1000</v>
      </c>
      <c r="P723" s="1" t="s">
        <v>3256</v>
      </c>
      <c r="Q723" s="3">
        <v>208500</v>
      </c>
      <c r="R723" s="25">
        <f t="shared" si="150"/>
        <v>2.064090760595171</v>
      </c>
      <c r="S723" s="32">
        <f t="shared" si="154"/>
        <v>101013</v>
      </c>
      <c r="T723" s="3">
        <f t="shared" si="151"/>
        <v>0</v>
      </c>
      <c r="U723" s="1" t="s">
        <v>3615</v>
      </c>
      <c r="V723" s="16">
        <v>1</v>
      </c>
      <c r="W723" s="28">
        <f t="shared" si="152"/>
        <v>1</v>
      </c>
      <c r="X723" s="27">
        <f t="shared" si="153"/>
        <v>1</v>
      </c>
      <c r="Y723" s="18"/>
      <c r="Z723" s="19"/>
    </row>
    <row r="724" spans="1:26" s="40" customFormat="1" ht="15" thickBot="1" x14ac:dyDescent="0.4">
      <c r="A724" s="34">
        <f>SUM(A675:A723)</f>
        <v>49</v>
      </c>
      <c r="B724" s="73" t="s">
        <v>3628</v>
      </c>
      <c r="C724" s="73"/>
      <c r="D724" s="73"/>
      <c r="E724" s="73"/>
      <c r="F724" s="73"/>
      <c r="G724" s="73"/>
      <c r="H724" s="73"/>
      <c r="I724" s="73"/>
      <c r="J724" s="35">
        <f>SUM(J675:J723)</f>
        <v>5111652</v>
      </c>
      <c r="K724" s="36">
        <f t="shared" ref="K724:V724" si="155">SUM(K675:K723)</f>
        <v>558590</v>
      </c>
      <c r="L724" s="36">
        <f t="shared" si="155"/>
        <v>4110450</v>
      </c>
      <c r="M724" s="36">
        <f t="shared" si="155"/>
        <v>393612</v>
      </c>
      <c r="N724" s="36">
        <f t="shared" si="155"/>
        <v>0</v>
      </c>
      <c r="O724" s="36">
        <f t="shared" si="155"/>
        <v>49000</v>
      </c>
      <c r="P724" s="36">
        <f t="shared" si="155"/>
        <v>0</v>
      </c>
      <c r="Q724" s="36">
        <f t="shared" si="155"/>
        <v>8966589</v>
      </c>
      <c r="R724" s="36"/>
      <c r="S724" s="45">
        <f t="shared" si="155"/>
        <v>4431544</v>
      </c>
      <c r="T724" s="37">
        <f t="shared" si="155"/>
        <v>-680108</v>
      </c>
      <c r="U724" s="35">
        <f t="shared" si="155"/>
        <v>0</v>
      </c>
      <c r="V724" s="35">
        <f t="shared" si="155"/>
        <v>38</v>
      </c>
      <c r="W724" s="38">
        <f t="shared" si="152"/>
        <v>0.77551020408163263</v>
      </c>
      <c r="X724" s="39">
        <f t="shared" ref="X724" si="156">S724/J724</f>
        <v>0.86694947152114421</v>
      </c>
    </row>
    <row r="725" spans="1:26" x14ac:dyDescent="0.35">
      <c r="A725" s="29">
        <v>1</v>
      </c>
      <c r="B725" s="1" t="s">
        <v>3625</v>
      </c>
      <c r="C725" s="1"/>
      <c r="D725" s="1" t="s">
        <v>3355</v>
      </c>
      <c r="E725" s="1" t="s">
        <v>3356</v>
      </c>
      <c r="F725" s="1" t="s">
        <v>3357</v>
      </c>
      <c r="G725" s="5" t="s">
        <v>3358</v>
      </c>
      <c r="H725" s="1" t="s">
        <v>17</v>
      </c>
      <c r="I725" s="2">
        <v>46086</v>
      </c>
      <c r="J725" s="33">
        <f t="shared" ref="J725:J756" si="157">SUM(K725:O725)</f>
        <v>151020</v>
      </c>
      <c r="K725" s="3">
        <v>17565</v>
      </c>
      <c r="L725" s="3">
        <v>119955</v>
      </c>
      <c r="M725" s="3">
        <v>12500</v>
      </c>
      <c r="N725" s="3">
        <v>0</v>
      </c>
      <c r="O725" s="3">
        <v>1000</v>
      </c>
      <c r="P725" s="1" t="s">
        <v>3359</v>
      </c>
      <c r="Q725" s="3">
        <v>80460</v>
      </c>
      <c r="R725" s="25">
        <f t="shared" ref="R725:R756" si="158">Q725/J725</f>
        <v>0.53277711561382601</v>
      </c>
      <c r="S725" s="32">
        <f>Q725</f>
        <v>80460</v>
      </c>
      <c r="T725" s="31">
        <f t="shared" ref="T725:T756" si="159">S725-J725</f>
        <v>-70560</v>
      </c>
      <c r="U725" s="1" t="s">
        <v>3616</v>
      </c>
      <c r="V725" s="16"/>
      <c r="W725" s="30">
        <f t="shared" si="152"/>
        <v>0</v>
      </c>
      <c r="X725" s="27">
        <f t="shared" ref="X725:X756" si="160">S725/J725</f>
        <v>0.53277711561382601</v>
      </c>
      <c r="Y725" s="18"/>
      <c r="Z725" s="19"/>
    </row>
    <row r="726" spans="1:26" x14ac:dyDescent="0.35">
      <c r="A726" s="29">
        <v>1</v>
      </c>
      <c r="B726" s="1" t="s">
        <v>3625</v>
      </c>
      <c r="C726" s="1"/>
      <c r="D726" s="1" t="s">
        <v>3257</v>
      </c>
      <c r="E726" s="1" t="s">
        <v>3258</v>
      </c>
      <c r="F726" s="1" t="s">
        <v>3259</v>
      </c>
      <c r="G726" s="5" t="s">
        <v>3260</v>
      </c>
      <c r="H726" s="1" t="s">
        <v>702</v>
      </c>
      <c r="I726" s="2">
        <v>46086</v>
      </c>
      <c r="J726" s="33">
        <f t="shared" si="157"/>
        <v>250621</v>
      </c>
      <c r="K726" s="3">
        <v>31304</v>
      </c>
      <c r="L726" s="3">
        <v>218317</v>
      </c>
      <c r="M726" s="3">
        <v>0</v>
      </c>
      <c r="N726" s="3">
        <v>0</v>
      </c>
      <c r="O726" s="3">
        <v>1000</v>
      </c>
      <c r="P726" s="1" t="s">
        <v>3257</v>
      </c>
      <c r="Q726" s="3">
        <v>233411</v>
      </c>
      <c r="R726" s="25">
        <f t="shared" si="158"/>
        <v>0.93133057485206749</v>
      </c>
      <c r="S726" s="32">
        <f>Q726</f>
        <v>233411</v>
      </c>
      <c r="T726" s="31">
        <f t="shared" si="159"/>
        <v>-17210</v>
      </c>
      <c r="U726" s="1" t="s">
        <v>3616</v>
      </c>
      <c r="V726" s="16"/>
      <c r="W726" s="30">
        <f t="shared" si="152"/>
        <v>0</v>
      </c>
      <c r="X726" s="27">
        <f t="shared" si="160"/>
        <v>0.93133057485206749</v>
      </c>
      <c r="Y726" s="18"/>
      <c r="Z726" s="19"/>
    </row>
    <row r="727" spans="1:26" x14ac:dyDescent="0.35">
      <c r="A727" s="29">
        <v>1</v>
      </c>
      <c r="B727" s="1" t="s">
        <v>3625</v>
      </c>
      <c r="C727" s="1"/>
      <c r="D727" s="1" t="s">
        <v>3543</v>
      </c>
      <c r="E727" s="1" t="s">
        <v>3544</v>
      </c>
      <c r="F727" s="1" t="s">
        <v>3545</v>
      </c>
      <c r="G727" s="5" t="s">
        <v>3546</v>
      </c>
      <c r="H727" s="1" t="s">
        <v>17</v>
      </c>
      <c r="I727" s="2">
        <v>46086</v>
      </c>
      <c r="J727" s="33">
        <f t="shared" si="157"/>
        <v>51007</v>
      </c>
      <c r="K727" s="3">
        <v>5848</v>
      </c>
      <c r="L727" s="3">
        <v>39992</v>
      </c>
      <c r="M727" s="3">
        <v>4167</v>
      </c>
      <c r="N727" s="3">
        <v>0</v>
      </c>
      <c r="O727" s="3">
        <v>1000</v>
      </c>
      <c r="P727" s="1" t="s">
        <v>3547</v>
      </c>
      <c r="Q727" s="3">
        <v>94248</v>
      </c>
      <c r="R727" s="25">
        <f t="shared" si="158"/>
        <v>1.847746387750701</v>
      </c>
      <c r="S727" s="32">
        <f t="shared" ref="S727:S739" si="161">J727</f>
        <v>51007</v>
      </c>
      <c r="T727" s="3">
        <f t="shared" si="159"/>
        <v>0</v>
      </c>
      <c r="U727" s="1" t="s">
        <v>3615</v>
      </c>
      <c r="V727" s="16">
        <v>1</v>
      </c>
      <c r="W727" s="28">
        <f t="shared" si="152"/>
        <v>1</v>
      </c>
      <c r="X727" s="27">
        <f t="shared" si="160"/>
        <v>1</v>
      </c>
      <c r="Y727" s="18"/>
      <c r="Z727" s="19"/>
    </row>
    <row r="728" spans="1:26" x14ac:dyDescent="0.35">
      <c r="A728" s="29">
        <v>1</v>
      </c>
      <c r="B728" s="1" t="s">
        <v>3625</v>
      </c>
      <c r="C728" s="1"/>
      <c r="D728" s="1" t="s">
        <v>3498</v>
      </c>
      <c r="E728" s="1" t="s">
        <v>3499</v>
      </c>
      <c r="F728" s="1" t="s">
        <v>3500</v>
      </c>
      <c r="G728" s="5" t="s">
        <v>3501</v>
      </c>
      <c r="H728" s="1" t="s">
        <v>17</v>
      </c>
      <c r="I728" s="2">
        <v>46086</v>
      </c>
      <c r="J728" s="33">
        <f t="shared" si="157"/>
        <v>51007</v>
      </c>
      <c r="K728" s="3">
        <v>4201</v>
      </c>
      <c r="L728" s="3">
        <v>41639</v>
      </c>
      <c r="M728" s="3">
        <v>4167</v>
      </c>
      <c r="N728" s="3">
        <v>0</v>
      </c>
      <c r="O728" s="3">
        <v>1000</v>
      </c>
      <c r="P728" s="1" t="s">
        <v>3502</v>
      </c>
      <c r="Q728" s="3">
        <v>122045</v>
      </c>
      <c r="R728" s="25">
        <f t="shared" si="158"/>
        <v>2.3927108043993961</v>
      </c>
      <c r="S728" s="32">
        <f t="shared" si="161"/>
        <v>51007</v>
      </c>
      <c r="T728" s="3">
        <f t="shared" si="159"/>
        <v>0</v>
      </c>
      <c r="U728" s="1" t="s">
        <v>3615</v>
      </c>
      <c r="V728" s="16">
        <v>1</v>
      </c>
      <c r="W728" s="28">
        <f t="shared" si="152"/>
        <v>1</v>
      </c>
      <c r="X728" s="27">
        <f t="shared" si="160"/>
        <v>1</v>
      </c>
      <c r="Y728" s="18"/>
      <c r="Z728" s="19"/>
    </row>
    <row r="729" spans="1:26" x14ac:dyDescent="0.35">
      <c r="A729" s="29">
        <v>1</v>
      </c>
      <c r="B729" s="1" t="s">
        <v>3625</v>
      </c>
      <c r="C729" s="1"/>
      <c r="D729" s="1" t="s">
        <v>3345</v>
      </c>
      <c r="E729" s="1" t="s">
        <v>3346</v>
      </c>
      <c r="F729" s="1" t="s">
        <v>3347</v>
      </c>
      <c r="G729" s="5" t="s">
        <v>3348</v>
      </c>
      <c r="H729" s="1" t="s">
        <v>17</v>
      </c>
      <c r="I729" s="2">
        <v>46086</v>
      </c>
      <c r="J729" s="33">
        <f t="shared" si="157"/>
        <v>151020</v>
      </c>
      <c r="K729" s="3">
        <v>14248</v>
      </c>
      <c r="L729" s="3">
        <v>123272</v>
      </c>
      <c r="M729" s="3">
        <v>12500</v>
      </c>
      <c r="N729" s="3">
        <v>0</v>
      </c>
      <c r="O729" s="3">
        <v>1000</v>
      </c>
      <c r="P729" s="1" t="s">
        <v>3349</v>
      </c>
      <c r="Q729" s="3">
        <v>284257</v>
      </c>
      <c r="R729" s="25">
        <f t="shared" si="158"/>
        <v>1.8822473844523904</v>
      </c>
      <c r="S729" s="32">
        <f t="shared" si="161"/>
        <v>151020</v>
      </c>
      <c r="T729" s="3">
        <f t="shared" si="159"/>
        <v>0</v>
      </c>
      <c r="U729" s="1" t="s">
        <v>3615</v>
      </c>
      <c r="V729" s="16">
        <v>1</v>
      </c>
      <c r="W729" s="28">
        <f t="shared" si="152"/>
        <v>1</v>
      </c>
      <c r="X729" s="27">
        <f t="shared" si="160"/>
        <v>1</v>
      </c>
      <c r="Y729" s="18"/>
      <c r="Z729" s="19"/>
    </row>
    <row r="730" spans="1:26" x14ac:dyDescent="0.35">
      <c r="A730" s="29">
        <v>1</v>
      </c>
      <c r="B730" s="1" t="s">
        <v>3625</v>
      </c>
      <c r="C730" s="1"/>
      <c r="D730" s="1" t="s">
        <v>3548</v>
      </c>
      <c r="E730" s="1" t="s">
        <v>3549</v>
      </c>
      <c r="F730" s="1" t="s">
        <v>3550</v>
      </c>
      <c r="G730" s="5" t="s">
        <v>3551</v>
      </c>
      <c r="H730" s="1" t="s">
        <v>17</v>
      </c>
      <c r="I730" s="2">
        <v>46086</v>
      </c>
      <c r="J730" s="33">
        <f t="shared" si="157"/>
        <v>101013</v>
      </c>
      <c r="K730" s="3">
        <v>11696</v>
      </c>
      <c r="L730" s="3">
        <v>79984</v>
      </c>
      <c r="M730" s="3">
        <v>8333</v>
      </c>
      <c r="N730" s="3">
        <v>0</v>
      </c>
      <c r="O730" s="3">
        <v>1000</v>
      </c>
      <c r="P730" s="1" t="s">
        <v>3552</v>
      </c>
      <c r="Q730" s="3">
        <v>166296</v>
      </c>
      <c r="R730" s="25">
        <f t="shared" si="158"/>
        <v>1.646283151673547</v>
      </c>
      <c r="S730" s="32">
        <f t="shared" si="161"/>
        <v>101013</v>
      </c>
      <c r="T730" s="3">
        <f t="shared" si="159"/>
        <v>0</v>
      </c>
      <c r="U730" s="1" t="s">
        <v>3615</v>
      </c>
      <c r="V730" s="16">
        <v>1</v>
      </c>
      <c r="W730" s="28">
        <f t="shared" si="152"/>
        <v>1</v>
      </c>
      <c r="X730" s="27">
        <f t="shared" si="160"/>
        <v>1</v>
      </c>
      <c r="Y730" s="18"/>
      <c r="Z730" s="19"/>
    </row>
    <row r="731" spans="1:26" x14ac:dyDescent="0.35">
      <c r="A731" s="29">
        <v>1</v>
      </c>
      <c r="B731" s="1" t="s">
        <v>3625</v>
      </c>
      <c r="C731" s="1"/>
      <c r="D731" s="1" t="s">
        <v>3461</v>
      </c>
      <c r="E731" s="1" t="s">
        <v>3462</v>
      </c>
      <c r="F731" s="1" t="s">
        <v>3463</v>
      </c>
      <c r="G731" s="5" t="s">
        <v>3464</v>
      </c>
      <c r="H731" s="1" t="s">
        <v>17</v>
      </c>
      <c r="I731" s="2">
        <v>46086</v>
      </c>
      <c r="J731" s="33">
        <f t="shared" si="157"/>
        <v>164222</v>
      </c>
      <c r="K731" s="3">
        <v>19228</v>
      </c>
      <c r="L731" s="3">
        <v>130661</v>
      </c>
      <c r="M731" s="3">
        <v>13333</v>
      </c>
      <c r="N731" s="3">
        <v>0</v>
      </c>
      <c r="O731" s="3">
        <v>1000</v>
      </c>
      <c r="P731" s="1" t="s">
        <v>3465</v>
      </c>
      <c r="Q731" s="3">
        <v>231562</v>
      </c>
      <c r="R731" s="25">
        <f t="shared" si="158"/>
        <v>1.410054682076701</v>
      </c>
      <c r="S731" s="32">
        <f t="shared" si="161"/>
        <v>164222</v>
      </c>
      <c r="T731" s="3">
        <f t="shared" si="159"/>
        <v>0</v>
      </c>
      <c r="U731" s="1" t="s">
        <v>3615</v>
      </c>
      <c r="V731" s="16">
        <v>1</v>
      </c>
      <c r="W731" s="28">
        <f t="shared" si="152"/>
        <v>1</v>
      </c>
      <c r="X731" s="27">
        <f t="shared" si="160"/>
        <v>1</v>
      </c>
      <c r="Y731" s="18"/>
      <c r="Z731" s="19"/>
    </row>
    <row r="732" spans="1:26" x14ac:dyDescent="0.35">
      <c r="A732" s="29">
        <v>1</v>
      </c>
      <c r="B732" s="1" t="s">
        <v>3625</v>
      </c>
      <c r="C732" s="1"/>
      <c r="D732" s="1" t="s">
        <v>3522</v>
      </c>
      <c r="E732" s="1" t="s">
        <v>3523</v>
      </c>
      <c r="F732" s="1" t="s">
        <v>3524</v>
      </c>
      <c r="G732" s="5" t="s">
        <v>3525</v>
      </c>
      <c r="H732" s="1" t="s">
        <v>17</v>
      </c>
      <c r="I732" s="2">
        <v>46086</v>
      </c>
      <c r="J732" s="33">
        <f t="shared" si="157"/>
        <v>51007</v>
      </c>
      <c r="K732" s="3">
        <v>4201</v>
      </c>
      <c r="L732" s="3">
        <v>41639</v>
      </c>
      <c r="M732" s="3">
        <v>4167</v>
      </c>
      <c r="N732" s="3">
        <v>0</v>
      </c>
      <c r="O732" s="3">
        <v>1000</v>
      </c>
      <c r="P732" s="1" t="s">
        <v>3526</v>
      </c>
      <c r="Q732" s="3">
        <v>149305</v>
      </c>
      <c r="R732" s="25">
        <f t="shared" si="158"/>
        <v>2.9271472542984296</v>
      </c>
      <c r="S732" s="32">
        <f t="shared" si="161"/>
        <v>51007</v>
      </c>
      <c r="T732" s="3">
        <f t="shared" si="159"/>
        <v>0</v>
      </c>
      <c r="U732" s="1" t="s">
        <v>3615</v>
      </c>
      <c r="V732" s="16">
        <v>1</v>
      </c>
      <c r="W732" s="28">
        <f t="shared" si="152"/>
        <v>1</v>
      </c>
      <c r="X732" s="27">
        <f t="shared" si="160"/>
        <v>1</v>
      </c>
      <c r="Y732" s="18"/>
      <c r="Z732" s="19"/>
    </row>
    <row r="733" spans="1:26" x14ac:dyDescent="0.35">
      <c r="A733" s="29">
        <v>1</v>
      </c>
      <c r="B733" s="1" t="s">
        <v>3625</v>
      </c>
      <c r="C733" s="1"/>
      <c r="D733" s="1" t="s">
        <v>3424</v>
      </c>
      <c r="E733" s="1" t="s">
        <v>3425</v>
      </c>
      <c r="F733" s="1" t="s">
        <v>3426</v>
      </c>
      <c r="G733" s="5" t="s">
        <v>3427</v>
      </c>
      <c r="H733" s="1" t="s">
        <v>17</v>
      </c>
      <c r="I733" s="2">
        <v>46086</v>
      </c>
      <c r="J733" s="33">
        <f t="shared" si="157"/>
        <v>501067</v>
      </c>
      <c r="K733" s="3">
        <v>36508</v>
      </c>
      <c r="L733" s="3">
        <v>421892</v>
      </c>
      <c r="M733" s="3">
        <v>41667</v>
      </c>
      <c r="N733" s="3">
        <v>0</v>
      </c>
      <c r="O733" s="3">
        <v>1000</v>
      </c>
      <c r="P733" s="1" t="s">
        <v>3428</v>
      </c>
      <c r="Q733" s="3">
        <v>588005</v>
      </c>
      <c r="R733" s="25">
        <f t="shared" si="158"/>
        <v>1.1735057387534999</v>
      </c>
      <c r="S733" s="32">
        <f t="shared" si="161"/>
        <v>501067</v>
      </c>
      <c r="T733" s="3">
        <f t="shared" si="159"/>
        <v>0</v>
      </c>
      <c r="U733" s="1" t="s">
        <v>3615</v>
      </c>
      <c r="V733" s="16">
        <v>1</v>
      </c>
      <c r="W733" s="28">
        <f t="shared" si="152"/>
        <v>1</v>
      </c>
      <c r="X733" s="27">
        <f t="shared" si="160"/>
        <v>1</v>
      </c>
      <c r="Y733" s="18"/>
      <c r="Z733" s="19"/>
    </row>
    <row r="734" spans="1:26" x14ac:dyDescent="0.35">
      <c r="A734" s="29">
        <v>1</v>
      </c>
      <c r="B734" s="1" t="s">
        <v>3625</v>
      </c>
      <c r="C734" s="1"/>
      <c r="D734" s="1" t="s">
        <v>3379</v>
      </c>
      <c r="E734" s="1" t="s">
        <v>3380</v>
      </c>
      <c r="F734" s="1" t="s">
        <v>3381</v>
      </c>
      <c r="G734" s="5" t="s">
        <v>3382</v>
      </c>
      <c r="H734" s="1" t="s">
        <v>17</v>
      </c>
      <c r="I734" s="2">
        <v>46086</v>
      </c>
      <c r="J734" s="33">
        <f t="shared" si="157"/>
        <v>81011</v>
      </c>
      <c r="K734" s="3">
        <v>9346</v>
      </c>
      <c r="L734" s="3">
        <v>63998</v>
      </c>
      <c r="M734" s="3">
        <v>6667</v>
      </c>
      <c r="N734" s="3">
        <v>0</v>
      </c>
      <c r="O734" s="3">
        <v>1000</v>
      </c>
      <c r="P734" s="1" t="s">
        <v>3383</v>
      </c>
      <c r="Q734" s="3">
        <v>166878</v>
      </c>
      <c r="R734" s="25">
        <f t="shared" si="158"/>
        <v>2.0599424769475752</v>
      </c>
      <c r="S734" s="32">
        <f t="shared" si="161"/>
        <v>81011</v>
      </c>
      <c r="T734" s="3">
        <f t="shared" si="159"/>
        <v>0</v>
      </c>
      <c r="U734" s="1" t="s">
        <v>3615</v>
      </c>
      <c r="V734" s="16">
        <v>1</v>
      </c>
      <c r="W734" s="28">
        <f t="shared" si="152"/>
        <v>1</v>
      </c>
      <c r="X734" s="27">
        <f t="shared" si="160"/>
        <v>1</v>
      </c>
      <c r="Y734" s="18"/>
      <c r="Z734" s="19"/>
    </row>
    <row r="735" spans="1:26" x14ac:dyDescent="0.35">
      <c r="A735" s="29">
        <v>1</v>
      </c>
      <c r="B735" s="1" t="s">
        <v>3625</v>
      </c>
      <c r="C735" s="1"/>
      <c r="D735" s="1" t="s">
        <v>3278</v>
      </c>
      <c r="E735" s="1" t="s">
        <v>3279</v>
      </c>
      <c r="F735" s="1" t="s">
        <v>3280</v>
      </c>
      <c r="G735" s="5" t="s">
        <v>3281</v>
      </c>
      <c r="H735" s="1" t="s">
        <v>17</v>
      </c>
      <c r="I735" s="2">
        <v>46086</v>
      </c>
      <c r="J735" s="33">
        <f t="shared" si="157"/>
        <v>201027</v>
      </c>
      <c r="K735" s="3">
        <v>23420</v>
      </c>
      <c r="L735" s="3">
        <v>159940</v>
      </c>
      <c r="M735" s="3">
        <v>16667</v>
      </c>
      <c r="N735" s="3">
        <v>0</v>
      </c>
      <c r="O735" s="3">
        <v>1000</v>
      </c>
      <c r="P735" s="1" t="s">
        <v>3282</v>
      </c>
      <c r="Q735" s="3">
        <v>597887</v>
      </c>
      <c r="R735" s="25">
        <f t="shared" si="158"/>
        <v>2.974162674665592</v>
      </c>
      <c r="S735" s="32">
        <f t="shared" si="161"/>
        <v>201027</v>
      </c>
      <c r="T735" s="3">
        <f t="shared" si="159"/>
        <v>0</v>
      </c>
      <c r="U735" s="1" t="s">
        <v>3615</v>
      </c>
      <c r="V735" s="16">
        <v>1</v>
      </c>
      <c r="W735" s="28">
        <f t="shared" si="152"/>
        <v>1</v>
      </c>
      <c r="X735" s="27">
        <f t="shared" si="160"/>
        <v>1</v>
      </c>
      <c r="Y735" s="18"/>
      <c r="Z735" s="19"/>
    </row>
    <row r="736" spans="1:26" x14ac:dyDescent="0.35">
      <c r="A736" s="29">
        <v>1</v>
      </c>
      <c r="B736" s="1" t="s">
        <v>3625</v>
      </c>
      <c r="C736" s="1"/>
      <c r="D736" s="1" t="s">
        <v>3389</v>
      </c>
      <c r="E736" s="1" t="s">
        <v>3390</v>
      </c>
      <c r="F736" s="1" t="s">
        <v>3391</v>
      </c>
      <c r="G736" s="5" t="s">
        <v>3392</v>
      </c>
      <c r="H736" s="1" t="s">
        <v>17</v>
      </c>
      <c r="I736" s="2">
        <v>46086</v>
      </c>
      <c r="J736" s="33">
        <f t="shared" si="157"/>
        <v>51007</v>
      </c>
      <c r="K736" s="3">
        <v>2437</v>
      </c>
      <c r="L736" s="3">
        <v>43403</v>
      </c>
      <c r="M736" s="3">
        <v>4167</v>
      </c>
      <c r="N736" s="3">
        <v>0</v>
      </c>
      <c r="O736" s="3">
        <v>1000</v>
      </c>
      <c r="P736" s="1" t="s">
        <v>3393</v>
      </c>
      <c r="Q736" s="3">
        <v>159006</v>
      </c>
      <c r="R736" s="25">
        <f t="shared" si="158"/>
        <v>3.1173368361205327</v>
      </c>
      <c r="S736" s="32">
        <f t="shared" si="161"/>
        <v>51007</v>
      </c>
      <c r="T736" s="3">
        <f t="shared" si="159"/>
        <v>0</v>
      </c>
      <c r="U736" s="1" t="s">
        <v>3615</v>
      </c>
      <c r="V736" s="16">
        <v>1</v>
      </c>
      <c r="W736" s="28">
        <f t="shared" si="152"/>
        <v>1</v>
      </c>
      <c r="X736" s="27">
        <f t="shared" si="160"/>
        <v>1</v>
      </c>
      <c r="Y736" s="18"/>
      <c r="Z736" s="19"/>
    </row>
    <row r="737" spans="1:26" x14ac:dyDescent="0.35">
      <c r="A737" s="29">
        <v>1</v>
      </c>
      <c r="B737" s="1" t="s">
        <v>3625</v>
      </c>
      <c r="C737" s="1"/>
      <c r="D737" s="1" t="s">
        <v>3350</v>
      </c>
      <c r="E737" s="1" t="s">
        <v>3351</v>
      </c>
      <c r="F737" s="1" t="s">
        <v>3352</v>
      </c>
      <c r="G737" s="5" t="s">
        <v>3353</v>
      </c>
      <c r="H737" s="1" t="s">
        <v>17</v>
      </c>
      <c r="I737" s="2">
        <v>46086</v>
      </c>
      <c r="J737" s="33">
        <f t="shared" si="157"/>
        <v>151020</v>
      </c>
      <c r="K737" s="3">
        <v>17565</v>
      </c>
      <c r="L737" s="3">
        <v>119955</v>
      </c>
      <c r="M737" s="3">
        <v>12500</v>
      </c>
      <c r="N737" s="3">
        <v>0</v>
      </c>
      <c r="O737" s="3">
        <v>1000</v>
      </c>
      <c r="P737" s="1" t="s">
        <v>3354</v>
      </c>
      <c r="Q737" s="3">
        <v>454419</v>
      </c>
      <c r="R737" s="25">
        <f t="shared" si="158"/>
        <v>3.0089988081048866</v>
      </c>
      <c r="S737" s="32">
        <f t="shared" si="161"/>
        <v>151020</v>
      </c>
      <c r="T737" s="3">
        <f t="shared" si="159"/>
        <v>0</v>
      </c>
      <c r="U737" s="1" t="s">
        <v>3615</v>
      </c>
      <c r="V737" s="16">
        <v>1</v>
      </c>
      <c r="W737" s="28">
        <f t="shared" si="152"/>
        <v>1</v>
      </c>
      <c r="X737" s="27">
        <f t="shared" si="160"/>
        <v>1</v>
      </c>
      <c r="Y737" s="18"/>
      <c r="Z737" s="19"/>
    </row>
    <row r="738" spans="1:26" x14ac:dyDescent="0.35">
      <c r="A738" s="29">
        <v>1</v>
      </c>
      <c r="B738" s="1" t="s">
        <v>3625</v>
      </c>
      <c r="C738" s="1"/>
      <c r="D738" s="1" t="s">
        <v>3325</v>
      </c>
      <c r="E738" s="1" t="s">
        <v>3326</v>
      </c>
      <c r="F738" s="1" t="s">
        <v>3327</v>
      </c>
      <c r="G738" s="5" t="s">
        <v>3328</v>
      </c>
      <c r="H738" s="1" t="s">
        <v>17</v>
      </c>
      <c r="I738" s="2">
        <v>46086</v>
      </c>
      <c r="J738" s="33">
        <f t="shared" si="157"/>
        <v>101013</v>
      </c>
      <c r="K738" s="3">
        <v>9520</v>
      </c>
      <c r="L738" s="3">
        <v>82160</v>
      </c>
      <c r="M738" s="3">
        <v>8333</v>
      </c>
      <c r="N738" s="3">
        <v>0</v>
      </c>
      <c r="O738" s="3">
        <v>1000</v>
      </c>
      <c r="P738" s="1" t="s">
        <v>3329</v>
      </c>
      <c r="Q738" s="3">
        <v>221167</v>
      </c>
      <c r="R738" s="25">
        <f t="shared" si="158"/>
        <v>2.1894904616237514</v>
      </c>
      <c r="S738" s="32">
        <f t="shared" si="161"/>
        <v>101013</v>
      </c>
      <c r="T738" s="3">
        <f t="shared" si="159"/>
        <v>0</v>
      </c>
      <c r="U738" s="1" t="s">
        <v>3615</v>
      </c>
      <c r="V738" s="16">
        <v>1</v>
      </c>
      <c r="W738" s="28">
        <f t="shared" si="152"/>
        <v>1</v>
      </c>
      <c r="X738" s="27">
        <f t="shared" si="160"/>
        <v>1</v>
      </c>
      <c r="Y738" s="18"/>
      <c r="Z738" s="19"/>
    </row>
    <row r="739" spans="1:26" x14ac:dyDescent="0.35">
      <c r="A739" s="29">
        <v>1</v>
      </c>
      <c r="B739" s="1" t="s">
        <v>3625</v>
      </c>
      <c r="C739" s="1"/>
      <c r="D739" s="1" t="s">
        <v>3448</v>
      </c>
      <c r="E739" s="1" t="s">
        <v>3449</v>
      </c>
      <c r="F739" s="1" t="s">
        <v>3450</v>
      </c>
      <c r="G739" s="5" t="s">
        <v>3451</v>
      </c>
      <c r="H739" s="1" t="s">
        <v>17</v>
      </c>
      <c r="I739" s="2">
        <v>46086</v>
      </c>
      <c r="J739" s="33">
        <f t="shared" si="157"/>
        <v>501067</v>
      </c>
      <c r="K739" s="3">
        <v>42150</v>
      </c>
      <c r="L739" s="3">
        <v>416250</v>
      </c>
      <c r="M739" s="3">
        <v>41667</v>
      </c>
      <c r="N739" s="3">
        <v>0</v>
      </c>
      <c r="O739" s="3">
        <v>1000</v>
      </c>
      <c r="P739" s="1" t="s">
        <v>3452</v>
      </c>
      <c r="Q739" s="3">
        <v>743212</v>
      </c>
      <c r="R739" s="25">
        <f t="shared" si="158"/>
        <v>1.4832587258789742</v>
      </c>
      <c r="S739" s="32">
        <f t="shared" si="161"/>
        <v>501067</v>
      </c>
      <c r="T739" s="3">
        <f t="shared" si="159"/>
        <v>0</v>
      </c>
      <c r="U739" s="1" t="s">
        <v>3615</v>
      </c>
      <c r="V739" s="16">
        <v>1</v>
      </c>
      <c r="W739" s="28">
        <f t="shared" si="152"/>
        <v>1</v>
      </c>
      <c r="X739" s="27">
        <f t="shared" si="160"/>
        <v>1</v>
      </c>
      <c r="Y739" s="18"/>
      <c r="Z739" s="19"/>
    </row>
    <row r="740" spans="1:26" x14ac:dyDescent="0.35">
      <c r="A740" s="29">
        <v>1</v>
      </c>
      <c r="B740" s="1" t="s">
        <v>3625</v>
      </c>
      <c r="C740" s="1"/>
      <c r="D740" s="1" t="s">
        <v>3320</v>
      </c>
      <c r="E740" s="1" t="s">
        <v>3321</v>
      </c>
      <c r="F740" s="1" t="s">
        <v>3322</v>
      </c>
      <c r="G740" s="5" t="s">
        <v>3323</v>
      </c>
      <c r="H740" s="1" t="s">
        <v>17</v>
      </c>
      <c r="I740" s="2">
        <v>46086</v>
      </c>
      <c r="J740" s="33">
        <f t="shared" si="157"/>
        <v>123417</v>
      </c>
      <c r="K740" s="3">
        <v>15699</v>
      </c>
      <c r="L740" s="3">
        <v>96718</v>
      </c>
      <c r="M740" s="3">
        <v>10000</v>
      </c>
      <c r="N740" s="3">
        <v>0</v>
      </c>
      <c r="O740" s="3">
        <v>1000</v>
      </c>
      <c r="P740" s="1" t="s">
        <v>3324</v>
      </c>
      <c r="Q740" s="3">
        <v>111000</v>
      </c>
      <c r="R740" s="25">
        <f t="shared" si="158"/>
        <v>0.8993898733561827</v>
      </c>
      <c r="S740" s="32">
        <f>Q740</f>
        <v>111000</v>
      </c>
      <c r="T740" s="31">
        <f t="shared" si="159"/>
        <v>-12417</v>
      </c>
      <c r="U740" s="1" t="s">
        <v>3616</v>
      </c>
      <c r="V740" s="16"/>
      <c r="W740" s="30">
        <f t="shared" si="152"/>
        <v>0</v>
      </c>
      <c r="X740" s="27">
        <f t="shared" si="160"/>
        <v>0.8993898733561827</v>
      </c>
      <c r="Y740" s="18"/>
      <c r="Z740" s="19"/>
    </row>
    <row r="741" spans="1:26" x14ac:dyDescent="0.35">
      <c r="A741" s="29">
        <v>1</v>
      </c>
      <c r="B741" s="1" t="s">
        <v>3625</v>
      </c>
      <c r="C741" s="1"/>
      <c r="D741" s="1" t="s">
        <v>3320</v>
      </c>
      <c r="E741" s="1" t="s">
        <v>3321</v>
      </c>
      <c r="F741" s="1" t="s">
        <v>3322</v>
      </c>
      <c r="G741" s="5" t="s">
        <v>3323</v>
      </c>
      <c r="H741" s="1" t="s">
        <v>17</v>
      </c>
      <c r="I741" s="2">
        <v>46086</v>
      </c>
      <c r="J741" s="33">
        <f t="shared" si="157"/>
        <v>123417</v>
      </c>
      <c r="K741" s="3">
        <v>15699</v>
      </c>
      <c r="L741" s="3">
        <v>96718</v>
      </c>
      <c r="M741" s="3">
        <v>10000</v>
      </c>
      <c r="N741" s="3">
        <v>0</v>
      </c>
      <c r="O741" s="3">
        <v>1000</v>
      </c>
      <c r="P741" s="1" t="s">
        <v>3324</v>
      </c>
      <c r="Q741" s="3">
        <v>111000</v>
      </c>
      <c r="R741" s="25">
        <f t="shared" si="158"/>
        <v>0.8993898733561827</v>
      </c>
      <c r="S741" s="32">
        <f>Q741</f>
        <v>111000</v>
      </c>
      <c r="T741" s="31">
        <f t="shared" si="159"/>
        <v>-12417</v>
      </c>
      <c r="U741" s="1" t="s">
        <v>3616</v>
      </c>
      <c r="V741" s="16"/>
      <c r="W741" s="30">
        <f t="shared" si="152"/>
        <v>0</v>
      </c>
      <c r="X741" s="27">
        <f t="shared" si="160"/>
        <v>0.8993898733561827</v>
      </c>
      <c r="Y741" s="18"/>
      <c r="Z741" s="19"/>
    </row>
    <row r="742" spans="1:26" x14ac:dyDescent="0.35">
      <c r="A742" s="29">
        <v>1</v>
      </c>
      <c r="B742" s="1" t="s">
        <v>3625</v>
      </c>
      <c r="C742" s="1"/>
      <c r="D742" s="1" t="s">
        <v>3315</v>
      </c>
      <c r="E742" s="1" t="s">
        <v>3316</v>
      </c>
      <c r="F742" s="1" t="s">
        <v>3317</v>
      </c>
      <c r="G742" s="5" t="s">
        <v>3318</v>
      </c>
      <c r="H742" s="1" t="s">
        <v>17</v>
      </c>
      <c r="I742" s="2">
        <v>46086</v>
      </c>
      <c r="J742" s="33">
        <f t="shared" si="157"/>
        <v>497862</v>
      </c>
      <c r="K742" s="3">
        <v>52940</v>
      </c>
      <c r="L742" s="3">
        <v>405460</v>
      </c>
      <c r="M742" s="3">
        <v>38462</v>
      </c>
      <c r="N742" s="3">
        <v>0</v>
      </c>
      <c r="O742" s="3">
        <v>1000</v>
      </c>
      <c r="P742" s="1" t="s">
        <v>3319</v>
      </c>
      <c r="Q742" s="3">
        <v>323362</v>
      </c>
      <c r="R742" s="25">
        <f t="shared" si="158"/>
        <v>0.64950126741948577</v>
      </c>
      <c r="S742" s="32">
        <f>Q742</f>
        <v>323362</v>
      </c>
      <c r="T742" s="31">
        <f t="shared" si="159"/>
        <v>-174500</v>
      </c>
      <c r="U742" s="1" t="s">
        <v>3616</v>
      </c>
      <c r="V742" s="16"/>
      <c r="W742" s="30">
        <f t="shared" si="152"/>
        <v>0</v>
      </c>
      <c r="X742" s="27">
        <f t="shared" si="160"/>
        <v>0.64950126741948577</v>
      </c>
      <c r="Y742" s="18"/>
      <c r="Z742" s="19"/>
    </row>
    <row r="743" spans="1:26" x14ac:dyDescent="0.35">
      <c r="A743" s="29">
        <v>1</v>
      </c>
      <c r="B743" s="1" t="s">
        <v>3625</v>
      </c>
      <c r="C743" s="1"/>
      <c r="D743" s="1" t="s">
        <v>3562</v>
      </c>
      <c r="E743" s="1" t="s">
        <v>3563</v>
      </c>
      <c r="F743" s="1" t="s">
        <v>3564</v>
      </c>
      <c r="G743" s="5" t="s">
        <v>3565</v>
      </c>
      <c r="H743" s="1" t="s">
        <v>17</v>
      </c>
      <c r="I743" s="2">
        <v>46086</v>
      </c>
      <c r="J743" s="33">
        <f t="shared" si="157"/>
        <v>501067</v>
      </c>
      <c r="K743" s="3">
        <v>86301</v>
      </c>
      <c r="L743" s="3">
        <v>372099</v>
      </c>
      <c r="M743" s="3">
        <v>41667</v>
      </c>
      <c r="N743" s="3">
        <v>0</v>
      </c>
      <c r="O743" s="3">
        <v>1000</v>
      </c>
      <c r="P743" s="1" t="s">
        <v>3566</v>
      </c>
      <c r="Q743" s="3">
        <v>650939</v>
      </c>
      <c r="R743" s="25">
        <f t="shared" si="158"/>
        <v>1.2991057084182356</v>
      </c>
      <c r="S743" s="32">
        <f>J743</f>
        <v>501067</v>
      </c>
      <c r="T743" s="3">
        <f t="shared" si="159"/>
        <v>0</v>
      </c>
      <c r="U743" s="1" t="s">
        <v>3615</v>
      </c>
      <c r="V743" s="16">
        <v>1</v>
      </c>
      <c r="W743" s="28">
        <f t="shared" si="152"/>
        <v>1</v>
      </c>
      <c r="X743" s="27">
        <f t="shared" si="160"/>
        <v>1</v>
      </c>
      <c r="Y743" s="18"/>
      <c r="Z743" s="19"/>
    </row>
    <row r="744" spans="1:26" x14ac:dyDescent="0.35">
      <c r="A744" s="29">
        <v>1</v>
      </c>
      <c r="B744" s="1" t="s">
        <v>3625</v>
      </c>
      <c r="C744" s="1"/>
      <c r="D744" s="1" t="s">
        <v>3287</v>
      </c>
      <c r="E744" s="1" t="s">
        <v>3288</v>
      </c>
      <c r="F744" s="1" t="s">
        <v>3289</v>
      </c>
      <c r="G744" s="5" t="s">
        <v>3290</v>
      </c>
      <c r="H744" s="1" t="s">
        <v>17</v>
      </c>
      <c r="I744" s="2">
        <v>46086</v>
      </c>
      <c r="J744" s="33">
        <f t="shared" si="157"/>
        <v>101013</v>
      </c>
      <c r="K744" s="3">
        <v>11696</v>
      </c>
      <c r="L744" s="3">
        <v>79984</v>
      </c>
      <c r="M744" s="3">
        <v>8333</v>
      </c>
      <c r="N744" s="3">
        <v>0</v>
      </c>
      <c r="O744" s="3">
        <v>1000</v>
      </c>
      <c r="P744" s="1" t="s">
        <v>3291</v>
      </c>
      <c r="Q744" s="3">
        <v>176720</v>
      </c>
      <c r="R744" s="25">
        <f t="shared" si="158"/>
        <v>1.7494777899874274</v>
      </c>
      <c r="S744" s="32">
        <f>J744</f>
        <v>101013</v>
      </c>
      <c r="T744" s="3">
        <f t="shared" si="159"/>
        <v>0</v>
      </c>
      <c r="U744" s="1" t="s">
        <v>3615</v>
      </c>
      <c r="V744" s="16">
        <v>1</v>
      </c>
      <c r="W744" s="28">
        <f t="shared" si="152"/>
        <v>1</v>
      </c>
      <c r="X744" s="27">
        <f t="shared" si="160"/>
        <v>1</v>
      </c>
      <c r="Y744" s="18"/>
      <c r="Z744" s="19"/>
    </row>
    <row r="745" spans="1:26" x14ac:dyDescent="0.35">
      <c r="A745" s="29">
        <v>1</v>
      </c>
      <c r="B745" s="1" t="s">
        <v>3625</v>
      </c>
      <c r="C745" s="1"/>
      <c r="D745" s="1" t="s">
        <v>3589</v>
      </c>
      <c r="E745" s="1" t="s">
        <v>3590</v>
      </c>
      <c r="F745" s="1" t="s">
        <v>3591</v>
      </c>
      <c r="G745" s="5" t="s">
        <v>3592</v>
      </c>
      <c r="H745" s="1" t="s">
        <v>17</v>
      </c>
      <c r="I745" s="2">
        <v>46086</v>
      </c>
      <c r="J745" s="33">
        <f t="shared" si="157"/>
        <v>71009</v>
      </c>
      <c r="K745" s="3">
        <v>11737</v>
      </c>
      <c r="L745" s="3">
        <v>52439</v>
      </c>
      <c r="M745" s="3">
        <v>5833</v>
      </c>
      <c r="N745" s="3">
        <v>0</v>
      </c>
      <c r="O745" s="3">
        <v>1000</v>
      </c>
      <c r="P745" s="1" t="s">
        <v>3593</v>
      </c>
      <c r="Q745" s="3">
        <v>139177</v>
      </c>
      <c r="R745" s="25">
        <f t="shared" si="158"/>
        <v>1.9599909870579786</v>
      </c>
      <c r="S745" s="32">
        <f>J745</f>
        <v>71009</v>
      </c>
      <c r="T745" s="3">
        <f t="shared" si="159"/>
        <v>0</v>
      </c>
      <c r="U745" s="1" t="s">
        <v>3615</v>
      </c>
      <c r="V745" s="16">
        <v>1</v>
      </c>
      <c r="W745" s="28">
        <f t="shared" si="152"/>
        <v>1</v>
      </c>
      <c r="X745" s="27">
        <f t="shared" si="160"/>
        <v>1</v>
      </c>
      <c r="Y745" s="18"/>
      <c r="Z745" s="19"/>
    </row>
    <row r="746" spans="1:26" x14ac:dyDescent="0.35">
      <c r="A746" s="29">
        <v>1</v>
      </c>
      <c r="B746" s="1" t="s">
        <v>3625</v>
      </c>
      <c r="C746" s="1"/>
      <c r="D746" s="1" t="s">
        <v>3415</v>
      </c>
      <c r="E746" s="1" t="s">
        <v>3416</v>
      </c>
      <c r="F746" s="1" t="s">
        <v>3417</v>
      </c>
      <c r="G746" s="5" t="s">
        <v>3418</v>
      </c>
      <c r="H746" s="1" t="s">
        <v>17</v>
      </c>
      <c r="I746" s="2">
        <v>46086</v>
      </c>
      <c r="J746" s="33">
        <f t="shared" si="157"/>
        <v>151020</v>
      </c>
      <c r="K746" s="3">
        <v>10842</v>
      </c>
      <c r="L746" s="3">
        <v>126678</v>
      </c>
      <c r="M746" s="3">
        <v>12500</v>
      </c>
      <c r="N746" s="3">
        <v>0</v>
      </c>
      <c r="O746" s="3">
        <v>1000</v>
      </c>
      <c r="P746" s="1" t="s">
        <v>3419</v>
      </c>
      <c r="Q746" s="3">
        <v>92978</v>
      </c>
      <c r="R746" s="25">
        <f t="shared" si="158"/>
        <v>0.61566679909945699</v>
      </c>
      <c r="S746" s="32">
        <f>Q746</f>
        <v>92978</v>
      </c>
      <c r="T746" s="31">
        <f t="shared" si="159"/>
        <v>-58042</v>
      </c>
      <c r="U746" s="1" t="s">
        <v>3616</v>
      </c>
      <c r="V746" s="16"/>
      <c r="W746" s="30">
        <f t="shared" si="152"/>
        <v>0</v>
      </c>
      <c r="X746" s="27">
        <f t="shared" si="160"/>
        <v>0.61566679909945699</v>
      </c>
      <c r="Y746" s="18"/>
      <c r="Z746" s="19"/>
    </row>
    <row r="747" spans="1:26" x14ac:dyDescent="0.35">
      <c r="A747" s="29">
        <v>1</v>
      </c>
      <c r="B747" s="1" t="s">
        <v>3625</v>
      </c>
      <c r="C747" s="1"/>
      <c r="D747" s="1" t="s">
        <v>3369</v>
      </c>
      <c r="E747" s="1" t="s">
        <v>3370</v>
      </c>
      <c r="F747" s="1" t="s">
        <v>3371</v>
      </c>
      <c r="G747" s="5" t="s">
        <v>3372</v>
      </c>
      <c r="H747" s="1" t="s">
        <v>17</v>
      </c>
      <c r="I747" s="2">
        <v>46086</v>
      </c>
      <c r="J747" s="33">
        <f t="shared" si="157"/>
        <v>101013</v>
      </c>
      <c r="K747" s="3">
        <v>11696</v>
      </c>
      <c r="L747" s="3">
        <v>79984</v>
      </c>
      <c r="M747" s="3">
        <v>8333</v>
      </c>
      <c r="N747" s="3">
        <v>0</v>
      </c>
      <c r="O747" s="3">
        <v>1000</v>
      </c>
      <c r="P747" s="1" t="s">
        <v>3373</v>
      </c>
      <c r="Q747" s="3">
        <v>422147</v>
      </c>
      <c r="R747" s="25">
        <f t="shared" si="158"/>
        <v>4.179135358815202</v>
      </c>
      <c r="S747" s="32">
        <f>J747</f>
        <v>101013</v>
      </c>
      <c r="T747" s="3">
        <f t="shared" si="159"/>
        <v>0</v>
      </c>
      <c r="U747" s="1" t="s">
        <v>3615</v>
      </c>
      <c r="V747" s="16">
        <v>1</v>
      </c>
      <c r="W747" s="28">
        <f t="shared" si="152"/>
        <v>1</v>
      </c>
      <c r="X747" s="27">
        <f t="shared" si="160"/>
        <v>1</v>
      </c>
      <c r="Y747" s="18"/>
      <c r="Z747" s="19"/>
    </row>
    <row r="748" spans="1:26" x14ac:dyDescent="0.35">
      <c r="A748" s="29">
        <v>1</v>
      </c>
      <c r="B748" s="1" t="s">
        <v>3625</v>
      </c>
      <c r="C748" s="1"/>
      <c r="D748" s="1" t="s">
        <v>3512</v>
      </c>
      <c r="E748" s="1" t="s">
        <v>3513</v>
      </c>
      <c r="F748" s="1" t="s">
        <v>3514</v>
      </c>
      <c r="G748" s="5" t="s">
        <v>3515</v>
      </c>
      <c r="H748" s="1" t="s">
        <v>17</v>
      </c>
      <c r="I748" s="2">
        <v>46086</v>
      </c>
      <c r="J748" s="33">
        <f t="shared" si="157"/>
        <v>97347</v>
      </c>
      <c r="K748" s="3">
        <v>-412</v>
      </c>
      <c r="L748" s="3">
        <v>88424</v>
      </c>
      <c r="M748" s="3">
        <v>8335</v>
      </c>
      <c r="N748" s="3">
        <v>0</v>
      </c>
      <c r="O748" s="3">
        <v>1000</v>
      </c>
      <c r="P748" s="1" t="s">
        <v>3516</v>
      </c>
      <c r="Q748" s="3">
        <v>12823</v>
      </c>
      <c r="R748" s="25">
        <f t="shared" si="158"/>
        <v>0.13172465509979764</v>
      </c>
      <c r="S748" s="32">
        <f>Q748</f>
        <v>12823</v>
      </c>
      <c r="T748" s="31">
        <f t="shared" si="159"/>
        <v>-84524</v>
      </c>
      <c r="U748" s="1" t="s">
        <v>3616</v>
      </c>
      <c r="V748" s="16"/>
      <c r="W748" s="30">
        <f t="shared" si="152"/>
        <v>0</v>
      </c>
      <c r="X748" s="27">
        <f t="shared" si="160"/>
        <v>0.13172465509979764</v>
      </c>
      <c r="Y748" s="18"/>
      <c r="Z748" s="19"/>
    </row>
    <row r="749" spans="1:26" x14ac:dyDescent="0.35">
      <c r="A749" s="29">
        <v>1</v>
      </c>
      <c r="B749" s="1" t="s">
        <v>3625</v>
      </c>
      <c r="C749" s="1"/>
      <c r="D749" s="1" t="s">
        <v>3484</v>
      </c>
      <c r="E749" s="1" t="s">
        <v>3485</v>
      </c>
      <c r="F749" s="1" t="s">
        <v>3486</v>
      </c>
      <c r="G749" s="5" t="s">
        <v>3487</v>
      </c>
      <c r="H749" s="1" t="s">
        <v>17</v>
      </c>
      <c r="I749" s="2">
        <v>46086</v>
      </c>
      <c r="J749" s="33">
        <f t="shared" si="157"/>
        <v>97098</v>
      </c>
      <c r="K749" s="3">
        <v>-647</v>
      </c>
      <c r="L749" s="3">
        <v>88410</v>
      </c>
      <c r="M749" s="3">
        <v>8335</v>
      </c>
      <c r="N749" s="3">
        <v>0</v>
      </c>
      <c r="O749" s="3">
        <v>1000</v>
      </c>
      <c r="P749" s="1" t="s">
        <v>3488</v>
      </c>
      <c r="Q749" s="3">
        <v>8333</v>
      </c>
      <c r="R749" s="25">
        <f t="shared" si="158"/>
        <v>8.5820511236070776E-2</v>
      </c>
      <c r="S749" s="32">
        <f>Q749</f>
        <v>8333</v>
      </c>
      <c r="T749" s="31">
        <f t="shared" si="159"/>
        <v>-88765</v>
      </c>
      <c r="U749" s="1" t="s">
        <v>3616</v>
      </c>
      <c r="V749" s="16"/>
      <c r="W749" s="30">
        <f t="shared" si="152"/>
        <v>0</v>
      </c>
      <c r="X749" s="27">
        <f t="shared" si="160"/>
        <v>8.5820511236070776E-2</v>
      </c>
      <c r="Y749" s="18"/>
      <c r="Z749" s="19"/>
    </row>
    <row r="750" spans="1:26" x14ac:dyDescent="0.35">
      <c r="A750" s="29">
        <v>1</v>
      </c>
      <c r="B750" s="1" t="s">
        <v>3625</v>
      </c>
      <c r="C750" s="1"/>
      <c r="D750" s="1" t="s">
        <v>3474</v>
      </c>
      <c r="E750" s="1" t="s">
        <v>3475</v>
      </c>
      <c r="F750" s="1" t="s">
        <v>3476</v>
      </c>
      <c r="G750" s="5" t="s">
        <v>3477</v>
      </c>
      <c r="H750" s="1" t="s">
        <v>17</v>
      </c>
      <c r="I750" s="2">
        <v>46086</v>
      </c>
      <c r="J750" s="33">
        <f t="shared" si="157"/>
        <v>151735</v>
      </c>
      <c r="K750" s="3">
        <v>13344</v>
      </c>
      <c r="L750" s="3">
        <v>124891</v>
      </c>
      <c r="M750" s="3">
        <v>12500</v>
      </c>
      <c r="N750" s="3">
        <v>0</v>
      </c>
      <c r="O750" s="3">
        <v>1000</v>
      </c>
      <c r="P750" s="1" t="s">
        <v>3478</v>
      </c>
      <c r="Q750" s="3">
        <v>255095</v>
      </c>
      <c r="R750" s="25">
        <f t="shared" si="158"/>
        <v>1.6811875967970475</v>
      </c>
      <c r="S750" s="32">
        <f t="shared" ref="S750:S756" si="162">J750</f>
        <v>151735</v>
      </c>
      <c r="T750" s="3">
        <f t="shared" si="159"/>
        <v>0</v>
      </c>
      <c r="U750" s="1" t="s">
        <v>3615</v>
      </c>
      <c r="V750" s="16">
        <v>1</v>
      </c>
      <c r="W750" s="28">
        <f t="shared" si="152"/>
        <v>1</v>
      </c>
      <c r="X750" s="27">
        <f t="shared" si="160"/>
        <v>1</v>
      </c>
      <c r="Y750" s="18"/>
      <c r="Z750" s="19"/>
    </row>
    <row r="751" spans="1:26" x14ac:dyDescent="0.35">
      <c r="A751" s="29">
        <v>1</v>
      </c>
      <c r="B751" s="1" t="s">
        <v>3625</v>
      </c>
      <c r="C751" s="1"/>
      <c r="D751" s="1" t="s">
        <v>3571</v>
      </c>
      <c r="E751" s="1" t="s">
        <v>3572</v>
      </c>
      <c r="F751" s="1" t="s">
        <v>3573</v>
      </c>
      <c r="G751" s="5" t="s">
        <v>3574</v>
      </c>
      <c r="H751" s="1" t="s">
        <v>17</v>
      </c>
      <c r="I751" s="2">
        <v>46086</v>
      </c>
      <c r="J751" s="33">
        <f t="shared" si="157"/>
        <v>101013</v>
      </c>
      <c r="K751" s="3">
        <v>15288</v>
      </c>
      <c r="L751" s="3">
        <v>76392</v>
      </c>
      <c r="M751" s="3">
        <v>8333</v>
      </c>
      <c r="N751" s="3">
        <v>0</v>
      </c>
      <c r="O751" s="3">
        <v>1000</v>
      </c>
      <c r="P751" s="1" t="s">
        <v>3575</v>
      </c>
      <c r="Q751" s="3">
        <v>202000</v>
      </c>
      <c r="R751" s="25">
        <f t="shared" si="158"/>
        <v>1.999742607387168</v>
      </c>
      <c r="S751" s="32">
        <f t="shared" si="162"/>
        <v>101013</v>
      </c>
      <c r="T751" s="3">
        <f t="shared" si="159"/>
        <v>0</v>
      </c>
      <c r="U751" s="1" t="s">
        <v>3615</v>
      </c>
      <c r="V751" s="16">
        <v>1</v>
      </c>
      <c r="W751" s="28">
        <f t="shared" si="152"/>
        <v>1</v>
      </c>
      <c r="X751" s="27">
        <f t="shared" si="160"/>
        <v>1</v>
      </c>
      <c r="Y751" s="18"/>
      <c r="Z751" s="19"/>
    </row>
    <row r="752" spans="1:26" x14ac:dyDescent="0.35">
      <c r="A752" s="29">
        <v>1</v>
      </c>
      <c r="B752" s="1" t="s">
        <v>3625</v>
      </c>
      <c r="C752" s="1"/>
      <c r="D752" s="1" t="s">
        <v>3503</v>
      </c>
      <c r="E752" s="1" t="s">
        <v>3504</v>
      </c>
      <c r="F752" s="1" t="s">
        <v>3505</v>
      </c>
      <c r="G752" s="5" t="s">
        <v>3506</v>
      </c>
      <c r="H752" s="1" t="s">
        <v>17</v>
      </c>
      <c r="I752" s="2">
        <v>46086</v>
      </c>
      <c r="J752" s="33">
        <f t="shared" si="157"/>
        <v>101013</v>
      </c>
      <c r="K752" s="3">
        <v>8401</v>
      </c>
      <c r="L752" s="3">
        <v>83279</v>
      </c>
      <c r="M752" s="3">
        <v>8333</v>
      </c>
      <c r="N752" s="3">
        <v>0</v>
      </c>
      <c r="O752" s="3">
        <v>1000</v>
      </c>
      <c r="P752" s="1" t="s">
        <v>3507</v>
      </c>
      <c r="Q752" s="3">
        <v>226133</v>
      </c>
      <c r="R752" s="25">
        <f t="shared" si="158"/>
        <v>2.2386524506746657</v>
      </c>
      <c r="S752" s="32">
        <f t="shared" si="162"/>
        <v>101013</v>
      </c>
      <c r="T752" s="3">
        <f t="shared" si="159"/>
        <v>0</v>
      </c>
      <c r="U752" s="1" t="s">
        <v>3615</v>
      </c>
      <c r="V752" s="16">
        <v>1</v>
      </c>
      <c r="W752" s="28">
        <f t="shared" si="152"/>
        <v>1</v>
      </c>
      <c r="X752" s="27">
        <f t="shared" si="160"/>
        <v>1</v>
      </c>
      <c r="Y752" s="18"/>
      <c r="Z752" s="19"/>
    </row>
    <row r="753" spans="1:26" x14ac:dyDescent="0.35">
      <c r="A753" s="29">
        <v>1</v>
      </c>
      <c r="B753" s="1" t="s">
        <v>3625</v>
      </c>
      <c r="C753" s="1"/>
      <c r="D753" s="1" t="s">
        <v>3261</v>
      </c>
      <c r="E753" s="1" t="s">
        <v>3262</v>
      </c>
      <c r="F753" s="1" t="s">
        <v>3263</v>
      </c>
      <c r="G753" s="5" t="s">
        <v>3264</v>
      </c>
      <c r="H753" s="1" t="s">
        <v>17</v>
      </c>
      <c r="I753" s="2">
        <v>46086</v>
      </c>
      <c r="J753" s="33">
        <f t="shared" si="157"/>
        <v>51007</v>
      </c>
      <c r="K753" s="3">
        <v>2437</v>
      </c>
      <c r="L753" s="3">
        <v>43403</v>
      </c>
      <c r="M753" s="3">
        <v>4167</v>
      </c>
      <c r="N753" s="3">
        <v>0</v>
      </c>
      <c r="O753" s="3">
        <v>1000</v>
      </c>
      <c r="P753" s="1" t="s">
        <v>3265</v>
      </c>
      <c r="Q753" s="3">
        <v>55145</v>
      </c>
      <c r="R753" s="25">
        <f t="shared" si="158"/>
        <v>1.0811261199443214</v>
      </c>
      <c r="S753" s="32">
        <f t="shared" si="162"/>
        <v>51007</v>
      </c>
      <c r="T753" s="3">
        <f t="shared" si="159"/>
        <v>0</v>
      </c>
      <c r="U753" s="1" t="s">
        <v>3615</v>
      </c>
      <c r="V753" s="16">
        <v>1</v>
      </c>
      <c r="W753" s="28">
        <f t="shared" si="152"/>
        <v>1</v>
      </c>
      <c r="X753" s="27">
        <f t="shared" si="160"/>
        <v>1</v>
      </c>
      <c r="Y753" s="18"/>
      <c r="Z753" s="19"/>
    </row>
    <row r="754" spans="1:26" x14ac:dyDescent="0.35">
      <c r="A754" s="29">
        <v>1</v>
      </c>
      <c r="B754" s="1" t="s">
        <v>3625</v>
      </c>
      <c r="C754" s="1"/>
      <c r="D754" s="1" t="s">
        <v>3479</v>
      </c>
      <c r="E754" s="1" t="s">
        <v>3480</v>
      </c>
      <c r="F754" s="1" t="s">
        <v>3481</v>
      </c>
      <c r="G754" s="5" t="s">
        <v>3482</v>
      </c>
      <c r="H754" s="1" t="s">
        <v>17</v>
      </c>
      <c r="I754" s="2">
        <v>46086</v>
      </c>
      <c r="J754" s="33">
        <f t="shared" si="157"/>
        <v>51007</v>
      </c>
      <c r="K754" s="3">
        <v>4204</v>
      </c>
      <c r="L754" s="3">
        <v>41636</v>
      </c>
      <c r="M754" s="3">
        <v>4167</v>
      </c>
      <c r="N754" s="3">
        <v>0</v>
      </c>
      <c r="O754" s="3">
        <v>1000</v>
      </c>
      <c r="P754" s="1" t="s">
        <v>3483</v>
      </c>
      <c r="Q754" s="3">
        <v>74397</v>
      </c>
      <c r="R754" s="25">
        <f t="shared" si="158"/>
        <v>1.458564510753426</v>
      </c>
      <c r="S754" s="32">
        <f t="shared" si="162"/>
        <v>51007</v>
      </c>
      <c r="T754" s="3">
        <f t="shared" si="159"/>
        <v>0</v>
      </c>
      <c r="U754" s="1" t="s">
        <v>3615</v>
      </c>
      <c r="V754" s="16">
        <v>1</v>
      </c>
      <c r="W754" s="28">
        <f t="shared" si="152"/>
        <v>1</v>
      </c>
      <c r="X754" s="27">
        <f t="shared" si="160"/>
        <v>1</v>
      </c>
      <c r="Y754" s="18"/>
      <c r="Z754" s="19"/>
    </row>
    <row r="755" spans="1:26" x14ac:dyDescent="0.35">
      <c r="A755" s="29">
        <v>1</v>
      </c>
      <c r="B755" s="1" t="s">
        <v>3625</v>
      </c>
      <c r="C755" s="1"/>
      <c r="D755" s="1" t="s">
        <v>3330</v>
      </c>
      <c r="E755" s="1" t="s">
        <v>3331</v>
      </c>
      <c r="F755" s="1" t="s">
        <v>3332</v>
      </c>
      <c r="G755" s="5" t="s">
        <v>3333</v>
      </c>
      <c r="H755" s="1" t="s">
        <v>17</v>
      </c>
      <c r="I755" s="2">
        <v>46086</v>
      </c>
      <c r="J755" s="33">
        <f t="shared" si="157"/>
        <v>201980</v>
      </c>
      <c r="K755" s="3">
        <v>20119</v>
      </c>
      <c r="L755" s="3">
        <v>164194</v>
      </c>
      <c r="M755" s="3">
        <v>16667</v>
      </c>
      <c r="N755" s="3">
        <v>0</v>
      </c>
      <c r="O755" s="3">
        <v>1000</v>
      </c>
      <c r="P755" s="1" t="s">
        <v>3334</v>
      </c>
      <c r="Q755" s="3">
        <v>347321</v>
      </c>
      <c r="R755" s="25">
        <f t="shared" si="158"/>
        <v>1.719581146648183</v>
      </c>
      <c r="S755" s="32">
        <f t="shared" si="162"/>
        <v>201980</v>
      </c>
      <c r="T755" s="3">
        <f t="shared" si="159"/>
        <v>0</v>
      </c>
      <c r="U755" s="1" t="s">
        <v>3615</v>
      </c>
      <c r="V755" s="16">
        <v>1</v>
      </c>
      <c r="W755" s="28">
        <f t="shared" si="152"/>
        <v>1</v>
      </c>
      <c r="X755" s="27">
        <f t="shared" si="160"/>
        <v>1</v>
      </c>
      <c r="Y755" s="18"/>
      <c r="Z755" s="19"/>
    </row>
    <row r="756" spans="1:26" x14ac:dyDescent="0.35">
      <c r="A756" s="29">
        <v>1</v>
      </c>
      <c r="B756" s="1" t="s">
        <v>3625</v>
      </c>
      <c r="C756" s="1"/>
      <c r="D756" s="1" t="s">
        <v>3553</v>
      </c>
      <c r="E756" s="1" t="s">
        <v>3554</v>
      </c>
      <c r="F756" s="1" t="s">
        <v>3555</v>
      </c>
      <c r="G756" s="5" t="s">
        <v>3556</v>
      </c>
      <c r="H756" s="1" t="s">
        <v>17</v>
      </c>
      <c r="I756" s="2">
        <v>46086</v>
      </c>
      <c r="J756" s="33">
        <f t="shared" si="157"/>
        <v>31004</v>
      </c>
      <c r="K756" s="3">
        <v>3509</v>
      </c>
      <c r="L756" s="3">
        <v>23995</v>
      </c>
      <c r="M756" s="3">
        <v>2500</v>
      </c>
      <c r="N756" s="3">
        <v>0</v>
      </c>
      <c r="O756" s="3">
        <v>1000</v>
      </c>
      <c r="P756" s="1" t="s">
        <v>3557</v>
      </c>
      <c r="Q756" s="3">
        <v>51844</v>
      </c>
      <c r="R756" s="25">
        <f t="shared" si="158"/>
        <v>1.6721713327312604</v>
      </c>
      <c r="S756" s="32">
        <f t="shared" si="162"/>
        <v>31004</v>
      </c>
      <c r="T756" s="3">
        <f t="shared" si="159"/>
        <v>0</v>
      </c>
      <c r="U756" s="1" t="s">
        <v>3615</v>
      </c>
      <c r="V756" s="16">
        <v>1</v>
      </c>
      <c r="W756" s="28">
        <f t="shared" si="152"/>
        <v>1</v>
      </c>
      <c r="X756" s="27">
        <f t="shared" si="160"/>
        <v>1</v>
      </c>
      <c r="Y756" s="18"/>
      <c r="Z756" s="19"/>
    </row>
    <row r="757" spans="1:26" x14ac:dyDescent="0.35">
      <c r="A757" s="29">
        <v>1</v>
      </c>
      <c r="B757" s="1" t="s">
        <v>3625</v>
      </c>
      <c r="C757" s="1"/>
      <c r="D757" s="1" t="s">
        <v>3584</v>
      </c>
      <c r="E757" s="1" t="s">
        <v>3585</v>
      </c>
      <c r="F757" s="1" t="s">
        <v>3586</v>
      </c>
      <c r="G757" s="5" t="s">
        <v>3587</v>
      </c>
      <c r="H757" s="1" t="s">
        <v>17</v>
      </c>
      <c r="I757" s="2">
        <v>46086</v>
      </c>
      <c r="J757" s="33">
        <f t="shared" ref="J757:J788" si="163">SUM(K757:O757)</f>
        <v>101490</v>
      </c>
      <c r="K757" s="3">
        <v>18219</v>
      </c>
      <c r="L757" s="3">
        <v>73938</v>
      </c>
      <c r="M757" s="3">
        <v>8333</v>
      </c>
      <c r="N757" s="3">
        <v>0</v>
      </c>
      <c r="O757" s="3">
        <v>1000</v>
      </c>
      <c r="P757" s="1" t="s">
        <v>3588</v>
      </c>
      <c r="Q757" s="3">
        <v>40629</v>
      </c>
      <c r="R757" s="25">
        <f t="shared" ref="R757:R788" si="164">Q757/J757</f>
        <v>0.40032515518770323</v>
      </c>
      <c r="S757" s="32">
        <f>Q757</f>
        <v>40629</v>
      </c>
      <c r="T757" s="31">
        <f t="shared" ref="T757:T788" si="165">S757-J757</f>
        <v>-60861</v>
      </c>
      <c r="U757" s="1" t="s">
        <v>3616</v>
      </c>
      <c r="V757" s="16"/>
      <c r="W757" s="30">
        <f t="shared" si="152"/>
        <v>0</v>
      </c>
      <c r="X757" s="27">
        <f t="shared" ref="X757:X788" si="166">S757/J757</f>
        <v>0.40032515518770323</v>
      </c>
      <c r="Y757" s="18"/>
      <c r="Z757" s="19"/>
    </row>
    <row r="758" spans="1:26" x14ac:dyDescent="0.35">
      <c r="A758" s="29">
        <v>1</v>
      </c>
      <c r="B758" s="1" t="s">
        <v>3625</v>
      </c>
      <c r="C758" s="1"/>
      <c r="D758" s="1" t="s">
        <v>3489</v>
      </c>
      <c r="E758" s="1" t="s">
        <v>3490</v>
      </c>
      <c r="F758" s="1" t="s">
        <v>3491</v>
      </c>
      <c r="G758" s="5" t="s">
        <v>3492</v>
      </c>
      <c r="H758" s="1" t="s">
        <v>17</v>
      </c>
      <c r="I758" s="2">
        <v>46086</v>
      </c>
      <c r="J758" s="33">
        <f t="shared" si="163"/>
        <v>301040</v>
      </c>
      <c r="K758" s="3">
        <v>25225</v>
      </c>
      <c r="L758" s="3">
        <v>249815</v>
      </c>
      <c r="M758" s="3">
        <v>25000</v>
      </c>
      <c r="N758" s="3">
        <v>0</v>
      </c>
      <c r="O758" s="3">
        <v>1000</v>
      </c>
      <c r="P758" s="1" t="s">
        <v>3493</v>
      </c>
      <c r="Q758" s="3">
        <v>21775</v>
      </c>
      <c r="R758" s="25">
        <f t="shared" si="164"/>
        <v>7.2332580387988302E-2</v>
      </c>
      <c r="S758" s="32">
        <f>Q758</f>
        <v>21775</v>
      </c>
      <c r="T758" s="31">
        <f t="shared" si="165"/>
        <v>-279265</v>
      </c>
      <c r="U758" s="1" t="s">
        <v>3616</v>
      </c>
      <c r="V758" s="16"/>
      <c r="W758" s="30">
        <f t="shared" si="152"/>
        <v>0</v>
      </c>
      <c r="X758" s="27">
        <f t="shared" si="166"/>
        <v>7.2332580387988302E-2</v>
      </c>
      <c r="Y758" s="18"/>
      <c r="Z758" s="19"/>
    </row>
    <row r="759" spans="1:26" x14ac:dyDescent="0.35">
      <c r="A759" s="29">
        <v>1</v>
      </c>
      <c r="B759" s="1" t="s">
        <v>3625</v>
      </c>
      <c r="C759" s="1"/>
      <c r="D759" s="1" t="s">
        <v>3402</v>
      </c>
      <c r="E759" s="1" t="s">
        <v>3403</v>
      </c>
      <c r="F759" s="1" t="s">
        <v>3404</v>
      </c>
      <c r="G759" s="5" t="s">
        <v>3405</v>
      </c>
      <c r="H759" s="1" t="s">
        <v>17</v>
      </c>
      <c r="I759" s="2">
        <v>46086</v>
      </c>
      <c r="J759" s="33">
        <f t="shared" si="163"/>
        <v>301040</v>
      </c>
      <c r="K759" s="3">
        <v>21817</v>
      </c>
      <c r="L759" s="3">
        <v>253223</v>
      </c>
      <c r="M759" s="3">
        <v>25000</v>
      </c>
      <c r="N759" s="3">
        <v>0</v>
      </c>
      <c r="O759" s="3">
        <v>1000</v>
      </c>
      <c r="P759" s="1" t="s">
        <v>3406</v>
      </c>
      <c r="Q759" s="3">
        <v>112779</v>
      </c>
      <c r="R759" s="25">
        <f t="shared" si="164"/>
        <v>0.37463127823545045</v>
      </c>
      <c r="S759" s="32">
        <f>Q759</f>
        <v>112779</v>
      </c>
      <c r="T759" s="31">
        <f t="shared" si="165"/>
        <v>-188261</v>
      </c>
      <c r="U759" s="1" t="s">
        <v>3616</v>
      </c>
      <c r="V759" s="16"/>
      <c r="W759" s="30">
        <f t="shared" si="152"/>
        <v>0</v>
      </c>
      <c r="X759" s="27">
        <f t="shared" si="166"/>
        <v>0.37463127823545045</v>
      </c>
      <c r="Y759" s="18"/>
      <c r="Z759" s="19"/>
    </row>
    <row r="760" spans="1:26" x14ac:dyDescent="0.35">
      <c r="A760" s="29">
        <v>1</v>
      </c>
      <c r="B760" s="1" t="s">
        <v>3625</v>
      </c>
      <c r="C760" s="1"/>
      <c r="D760" s="1" t="s">
        <v>3438</v>
      </c>
      <c r="E760" s="1" t="s">
        <v>3439</v>
      </c>
      <c r="F760" s="1" t="s">
        <v>3440</v>
      </c>
      <c r="G760" s="5" t="s">
        <v>3441</v>
      </c>
      <c r="H760" s="1" t="s">
        <v>17</v>
      </c>
      <c r="I760" s="2">
        <v>46086</v>
      </c>
      <c r="J760" s="33">
        <f t="shared" si="163"/>
        <v>61008</v>
      </c>
      <c r="K760" s="3">
        <v>5058</v>
      </c>
      <c r="L760" s="3">
        <v>49950</v>
      </c>
      <c r="M760" s="3">
        <v>5000</v>
      </c>
      <c r="N760" s="3">
        <v>0</v>
      </c>
      <c r="O760" s="3">
        <v>1000</v>
      </c>
      <c r="P760" s="1" t="s">
        <v>3442</v>
      </c>
      <c r="Q760" s="3">
        <v>184032</v>
      </c>
      <c r="R760" s="25">
        <f t="shared" si="164"/>
        <v>3.0165224232887491</v>
      </c>
      <c r="S760" s="32">
        <f>J760</f>
        <v>61008</v>
      </c>
      <c r="T760" s="3">
        <f t="shared" si="165"/>
        <v>0</v>
      </c>
      <c r="U760" s="1" t="s">
        <v>3615</v>
      </c>
      <c r="V760" s="16">
        <v>1</v>
      </c>
      <c r="W760" s="28">
        <f t="shared" si="152"/>
        <v>1</v>
      </c>
      <c r="X760" s="27">
        <f t="shared" si="166"/>
        <v>1</v>
      </c>
      <c r="Y760" s="18"/>
      <c r="Z760" s="19"/>
    </row>
    <row r="761" spans="1:26" x14ac:dyDescent="0.35">
      <c r="A761" s="29">
        <v>1</v>
      </c>
      <c r="B761" s="1" t="s">
        <v>3625</v>
      </c>
      <c r="C761" s="1"/>
      <c r="D761" s="1" t="s">
        <v>3364</v>
      </c>
      <c r="E761" s="1" t="s">
        <v>3365</v>
      </c>
      <c r="F761" s="1" t="s">
        <v>3366</v>
      </c>
      <c r="G761" s="5" t="s">
        <v>3367</v>
      </c>
      <c r="H761" s="1" t="s">
        <v>17</v>
      </c>
      <c r="I761" s="2">
        <v>46086</v>
      </c>
      <c r="J761" s="33">
        <f t="shared" si="163"/>
        <v>503450</v>
      </c>
      <c r="K761" s="3">
        <v>61784</v>
      </c>
      <c r="L761" s="3">
        <v>398999</v>
      </c>
      <c r="M761" s="3">
        <v>41667</v>
      </c>
      <c r="N761" s="3">
        <v>0</v>
      </c>
      <c r="O761" s="3">
        <v>1000</v>
      </c>
      <c r="P761" s="1" t="s">
        <v>3368</v>
      </c>
      <c r="Q761" s="3">
        <v>120000</v>
      </c>
      <c r="R761" s="25">
        <f t="shared" si="164"/>
        <v>0.23835534809812295</v>
      </c>
      <c r="S761" s="32">
        <f>Q761</f>
        <v>120000</v>
      </c>
      <c r="T761" s="31">
        <f t="shared" si="165"/>
        <v>-383450</v>
      </c>
      <c r="U761" s="1" t="s">
        <v>3616</v>
      </c>
      <c r="V761" s="16"/>
      <c r="W761" s="30">
        <f t="shared" si="152"/>
        <v>0</v>
      </c>
      <c r="X761" s="27">
        <f t="shared" si="166"/>
        <v>0.23835534809812295</v>
      </c>
      <c r="Y761" s="18"/>
      <c r="Z761" s="19"/>
    </row>
    <row r="762" spans="1:26" x14ac:dyDescent="0.35">
      <c r="A762" s="29">
        <v>1</v>
      </c>
      <c r="B762" s="1" t="s">
        <v>3625</v>
      </c>
      <c r="C762" s="1"/>
      <c r="D762" s="1" t="s">
        <v>3517</v>
      </c>
      <c r="E762" s="1" t="s">
        <v>3518</v>
      </c>
      <c r="F762" s="1" t="s">
        <v>3519</v>
      </c>
      <c r="G762" s="5" t="s">
        <v>3520</v>
      </c>
      <c r="H762" s="1" t="s">
        <v>17</v>
      </c>
      <c r="I762" s="2">
        <v>46086</v>
      </c>
      <c r="J762" s="33">
        <f t="shared" si="163"/>
        <v>245833</v>
      </c>
      <c r="K762" s="3">
        <v>28776</v>
      </c>
      <c r="L762" s="3">
        <v>196057</v>
      </c>
      <c r="M762" s="3">
        <v>20000</v>
      </c>
      <c r="N762" s="3">
        <v>0</v>
      </c>
      <c r="O762" s="3">
        <v>1000</v>
      </c>
      <c r="P762" s="1" t="s">
        <v>3521</v>
      </c>
      <c r="Q762" s="3">
        <v>226717</v>
      </c>
      <c r="R762" s="25">
        <f t="shared" si="164"/>
        <v>0.92223989456256894</v>
      </c>
      <c r="S762" s="32">
        <f>Q762</f>
        <v>226717</v>
      </c>
      <c r="T762" s="31">
        <f t="shared" si="165"/>
        <v>-19116</v>
      </c>
      <c r="U762" s="1" t="s">
        <v>3616</v>
      </c>
      <c r="V762" s="16"/>
      <c r="W762" s="30">
        <f t="shared" si="152"/>
        <v>0</v>
      </c>
      <c r="X762" s="27">
        <f t="shared" si="166"/>
        <v>0.92223989456256894</v>
      </c>
      <c r="Y762" s="18"/>
      <c r="Z762" s="19"/>
    </row>
    <row r="763" spans="1:26" x14ac:dyDescent="0.35">
      <c r="A763" s="29">
        <v>1</v>
      </c>
      <c r="B763" s="1" t="s">
        <v>3625</v>
      </c>
      <c r="C763" s="1"/>
      <c r="D763" s="1" t="s">
        <v>3340</v>
      </c>
      <c r="E763" s="1" t="s">
        <v>3341</v>
      </c>
      <c r="F763" s="1" t="s">
        <v>3342</v>
      </c>
      <c r="G763" s="5" t="s">
        <v>3343</v>
      </c>
      <c r="H763" s="1" t="s">
        <v>467</v>
      </c>
      <c r="I763" s="2">
        <v>46086</v>
      </c>
      <c r="J763" s="33">
        <f t="shared" si="163"/>
        <v>22211</v>
      </c>
      <c r="K763" s="3">
        <v>1225</v>
      </c>
      <c r="L763" s="3">
        <v>19986</v>
      </c>
      <c r="M763" s="3">
        <v>0</v>
      </c>
      <c r="N763" s="3">
        <v>0</v>
      </c>
      <c r="O763" s="3">
        <v>1000</v>
      </c>
      <c r="P763" s="1" t="s">
        <v>3344</v>
      </c>
      <c r="Q763" s="3">
        <v>1321656</v>
      </c>
      <c r="R763" s="25">
        <f t="shared" si="164"/>
        <v>59.504569807752915</v>
      </c>
      <c r="S763" s="32">
        <f>J763</f>
        <v>22211</v>
      </c>
      <c r="T763" s="3">
        <f t="shared" si="165"/>
        <v>0</v>
      </c>
      <c r="U763" s="1" t="s">
        <v>3615</v>
      </c>
      <c r="V763" s="16">
        <v>1</v>
      </c>
      <c r="W763" s="28">
        <f t="shared" si="152"/>
        <v>1</v>
      </c>
      <c r="X763" s="27">
        <f t="shared" si="166"/>
        <v>1</v>
      </c>
      <c r="Y763" s="18"/>
      <c r="Z763" s="19"/>
    </row>
    <row r="764" spans="1:26" x14ac:dyDescent="0.35">
      <c r="A764" s="29">
        <v>1</v>
      </c>
      <c r="B764" s="1" t="s">
        <v>3625</v>
      </c>
      <c r="C764" s="1"/>
      <c r="D764" s="1" t="s">
        <v>3292</v>
      </c>
      <c r="E764" s="1" t="s">
        <v>3293</v>
      </c>
      <c r="F764" s="1" t="s">
        <v>3294</v>
      </c>
      <c r="G764" s="5" t="s">
        <v>3295</v>
      </c>
      <c r="H764" s="1" t="s">
        <v>17</v>
      </c>
      <c r="I764" s="2">
        <v>46086</v>
      </c>
      <c r="J764" s="33">
        <f t="shared" si="163"/>
        <v>101490</v>
      </c>
      <c r="K764" s="3">
        <v>12365</v>
      </c>
      <c r="L764" s="3">
        <v>79792</v>
      </c>
      <c r="M764" s="3">
        <v>8333</v>
      </c>
      <c r="N764" s="3">
        <v>0</v>
      </c>
      <c r="O764" s="3">
        <v>1000</v>
      </c>
      <c r="P764" s="1" t="s">
        <v>3296</v>
      </c>
      <c r="Q764" s="3">
        <v>171579</v>
      </c>
      <c r="R764" s="25">
        <f t="shared" si="164"/>
        <v>1.690600059119125</v>
      </c>
      <c r="S764" s="32">
        <f>J764</f>
        <v>101490</v>
      </c>
      <c r="T764" s="3">
        <f t="shared" si="165"/>
        <v>0</v>
      </c>
      <c r="U764" s="1" t="s">
        <v>3615</v>
      </c>
      <c r="V764" s="16">
        <v>1</v>
      </c>
      <c r="W764" s="28">
        <f t="shared" si="152"/>
        <v>1</v>
      </c>
      <c r="X764" s="27">
        <f t="shared" si="166"/>
        <v>1</v>
      </c>
      <c r="Y764" s="18"/>
      <c r="Z764" s="19"/>
    </row>
    <row r="765" spans="1:26" x14ac:dyDescent="0.35">
      <c r="A765" s="29">
        <v>1</v>
      </c>
      <c r="B765" s="1" t="s">
        <v>3625</v>
      </c>
      <c r="C765" s="1"/>
      <c r="D765" s="1" t="s">
        <v>3297</v>
      </c>
      <c r="E765" s="1" t="s">
        <v>3298</v>
      </c>
      <c r="F765" s="1" t="s">
        <v>3299</v>
      </c>
      <c r="G765" s="5" t="s">
        <v>3300</v>
      </c>
      <c r="H765" s="1" t="s">
        <v>17</v>
      </c>
      <c r="I765" s="2">
        <v>46086</v>
      </c>
      <c r="J765" s="33">
        <f t="shared" si="163"/>
        <v>51007</v>
      </c>
      <c r="K765" s="3">
        <v>2437</v>
      </c>
      <c r="L765" s="3">
        <v>43403</v>
      </c>
      <c r="M765" s="3">
        <v>4167</v>
      </c>
      <c r="N765" s="3">
        <v>0</v>
      </c>
      <c r="O765" s="3">
        <v>1000</v>
      </c>
      <c r="P765" s="1" t="s">
        <v>3301</v>
      </c>
      <c r="Q765" s="3">
        <v>27720</v>
      </c>
      <c r="R765" s="25">
        <f t="shared" si="164"/>
        <v>0.54345481992667677</v>
      </c>
      <c r="S765" s="32">
        <f>Q765</f>
        <v>27720</v>
      </c>
      <c r="T765" s="31">
        <f t="shared" si="165"/>
        <v>-23287</v>
      </c>
      <c r="U765" s="1" t="s">
        <v>3616</v>
      </c>
      <c r="V765" s="16"/>
      <c r="W765" s="30">
        <f t="shared" si="152"/>
        <v>0</v>
      </c>
      <c r="X765" s="27">
        <f t="shared" si="166"/>
        <v>0.54345481992667677</v>
      </c>
      <c r="Y765" s="18"/>
      <c r="Z765" s="19"/>
    </row>
    <row r="766" spans="1:26" x14ac:dyDescent="0.35">
      <c r="A766" s="29">
        <v>1</v>
      </c>
      <c r="B766" s="1" t="s">
        <v>3625</v>
      </c>
      <c r="C766" s="1"/>
      <c r="D766" s="1" t="s">
        <v>3335</v>
      </c>
      <c r="E766" s="1" t="s">
        <v>3336</v>
      </c>
      <c r="F766" s="1" t="s">
        <v>3337</v>
      </c>
      <c r="G766" s="5" t="s">
        <v>3338</v>
      </c>
      <c r="H766" s="1" t="s">
        <v>17</v>
      </c>
      <c r="I766" s="2">
        <v>46086</v>
      </c>
      <c r="J766" s="33">
        <f t="shared" si="163"/>
        <v>61294</v>
      </c>
      <c r="K766" s="3">
        <v>6026</v>
      </c>
      <c r="L766" s="3">
        <v>49268</v>
      </c>
      <c r="M766" s="3">
        <v>5000</v>
      </c>
      <c r="N766" s="3">
        <v>0</v>
      </c>
      <c r="O766" s="3">
        <v>1000</v>
      </c>
      <c r="P766" s="1" t="s">
        <v>3339</v>
      </c>
      <c r="Q766" s="3">
        <v>49871</v>
      </c>
      <c r="R766" s="25">
        <f t="shared" si="164"/>
        <v>0.81363591868698404</v>
      </c>
      <c r="S766" s="32">
        <f>Q766</f>
        <v>49871</v>
      </c>
      <c r="T766" s="31">
        <f t="shared" si="165"/>
        <v>-11423</v>
      </c>
      <c r="U766" s="1" t="s">
        <v>3616</v>
      </c>
      <c r="V766" s="16"/>
      <c r="W766" s="30">
        <f t="shared" si="152"/>
        <v>0</v>
      </c>
      <c r="X766" s="27">
        <f t="shared" si="166"/>
        <v>0.81363591868698404</v>
      </c>
      <c r="Y766" s="18"/>
      <c r="Z766" s="19"/>
    </row>
    <row r="767" spans="1:26" x14ac:dyDescent="0.35">
      <c r="A767" s="29">
        <v>1</v>
      </c>
      <c r="B767" s="1" t="s">
        <v>3625</v>
      </c>
      <c r="C767" s="1"/>
      <c r="D767" s="1" t="s">
        <v>3429</v>
      </c>
      <c r="E767" s="1" t="s">
        <v>3430</v>
      </c>
      <c r="F767" s="1" t="s">
        <v>3431</v>
      </c>
      <c r="G767" s="5" t="s">
        <v>3432</v>
      </c>
      <c r="H767" s="1" t="s">
        <v>17</v>
      </c>
      <c r="I767" s="2">
        <v>46086</v>
      </c>
      <c r="J767" s="33">
        <f t="shared" si="163"/>
        <v>121016</v>
      </c>
      <c r="K767" s="3">
        <v>8727</v>
      </c>
      <c r="L767" s="3">
        <v>101289</v>
      </c>
      <c r="M767" s="3">
        <v>10000</v>
      </c>
      <c r="N767" s="3">
        <v>0</v>
      </c>
      <c r="O767" s="3">
        <v>1000</v>
      </c>
      <c r="P767" s="1" t="s">
        <v>3433</v>
      </c>
      <c r="Q767" s="3">
        <v>105000</v>
      </c>
      <c r="R767" s="25">
        <f t="shared" si="164"/>
        <v>0.86765386395187416</v>
      </c>
      <c r="S767" s="32">
        <f>Q767</f>
        <v>105000</v>
      </c>
      <c r="T767" s="31">
        <f t="shared" si="165"/>
        <v>-16016</v>
      </c>
      <c r="U767" s="1" t="s">
        <v>3616</v>
      </c>
      <c r="V767" s="16"/>
      <c r="W767" s="30">
        <f t="shared" si="152"/>
        <v>0</v>
      </c>
      <c r="X767" s="27">
        <f t="shared" si="166"/>
        <v>0.86765386395187416</v>
      </c>
      <c r="Y767" s="18"/>
      <c r="Z767" s="19"/>
    </row>
    <row r="768" spans="1:26" x14ac:dyDescent="0.35">
      <c r="A768" s="29">
        <v>1</v>
      </c>
      <c r="B768" s="1" t="s">
        <v>3625</v>
      </c>
      <c r="C768" s="1"/>
      <c r="D768" s="1" t="s">
        <v>3302</v>
      </c>
      <c r="E768" s="1" t="s">
        <v>3303</v>
      </c>
      <c r="F768" s="1" t="s">
        <v>3304</v>
      </c>
      <c r="G768" s="5" t="s">
        <v>3305</v>
      </c>
      <c r="H768" s="1" t="s">
        <v>17</v>
      </c>
      <c r="I768" s="2">
        <v>46086</v>
      </c>
      <c r="J768" s="33">
        <f t="shared" si="163"/>
        <v>549649</v>
      </c>
      <c r="K768" s="3">
        <v>58731</v>
      </c>
      <c r="L768" s="3">
        <v>444463</v>
      </c>
      <c r="M768" s="3">
        <v>45455</v>
      </c>
      <c r="N768" s="3">
        <v>0</v>
      </c>
      <c r="O768" s="3">
        <v>1000</v>
      </c>
      <c r="P768" s="1" t="s">
        <v>3306</v>
      </c>
      <c r="Q768" s="3">
        <v>98455</v>
      </c>
      <c r="R768" s="25">
        <f t="shared" si="164"/>
        <v>0.17912340420886785</v>
      </c>
      <c r="S768" s="32">
        <f>Q768</f>
        <v>98455</v>
      </c>
      <c r="T768" s="31">
        <f t="shared" si="165"/>
        <v>-451194</v>
      </c>
      <c r="U768" s="1" t="s">
        <v>3616</v>
      </c>
      <c r="V768" s="16"/>
      <c r="W768" s="30">
        <f t="shared" si="152"/>
        <v>0</v>
      </c>
      <c r="X768" s="27">
        <f t="shared" si="166"/>
        <v>0.17912340420886785</v>
      </c>
      <c r="Y768" s="18"/>
      <c r="Z768" s="19"/>
    </row>
    <row r="769" spans="1:26" x14ac:dyDescent="0.35">
      <c r="A769" s="29">
        <v>1</v>
      </c>
      <c r="B769" s="1" t="s">
        <v>3625</v>
      </c>
      <c r="C769" s="1"/>
      <c r="D769" s="1" t="s">
        <v>3443</v>
      </c>
      <c r="E769" s="1" t="s">
        <v>3444</v>
      </c>
      <c r="F769" s="1" t="s">
        <v>3445</v>
      </c>
      <c r="G769" s="5" t="s">
        <v>3446</v>
      </c>
      <c r="H769" s="1" t="s">
        <v>17</v>
      </c>
      <c r="I769" s="2">
        <v>46086</v>
      </c>
      <c r="J769" s="33">
        <f t="shared" si="163"/>
        <v>101013</v>
      </c>
      <c r="K769" s="3">
        <v>8430</v>
      </c>
      <c r="L769" s="3">
        <v>83250</v>
      </c>
      <c r="M769" s="3">
        <v>8333</v>
      </c>
      <c r="N769" s="3">
        <v>0</v>
      </c>
      <c r="O769" s="3">
        <v>1000</v>
      </c>
      <c r="P769" s="1" t="s">
        <v>3447</v>
      </c>
      <c r="Q769" s="3">
        <v>179975</v>
      </c>
      <c r="R769" s="25">
        <f t="shared" si="164"/>
        <v>1.7817013651708196</v>
      </c>
      <c r="S769" s="32">
        <f>J769</f>
        <v>101013</v>
      </c>
      <c r="T769" s="3">
        <f t="shared" si="165"/>
        <v>0</v>
      </c>
      <c r="U769" s="1" t="s">
        <v>3615</v>
      </c>
      <c r="V769" s="16">
        <v>1</v>
      </c>
      <c r="W769" s="28">
        <f t="shared" si="152"/>
        <v>1</v>
      </c>
      <c r="X769" s="27">
        <f t="shared" si="166"/>
        <v>1</v>
      </c>
      <c r="Y769" s="18"/>
      <c r="Z769" s="19"/>
    </row>
    <row r="770" spans="1:26" x14ac:dyDescent="0.35">
      <c r="A770" s="29">
        <v>1</v>
      </c>
      <c r="B770" s="1" t="s">
        <v>3625</v>
      </c>
      <c r="C770" s="1"/>
      <c r="D770" s="1" t="s">
        <v>3384</v>
      </c>
      <c r="E770" s="1" t="s">
        <v>3385</v>
      </c>
      <c r="F770" s="1" t="s">
        <v>3386</v>
      </c>
      <c r="G770" s="5" t="s">
        <v>3387</v>
      </c>
      <c r="H770" s="1" t="s">
        <v>17</v>
      </c>
      <c r="I770" s="2">
        <v>46086</v>
      </c>
      <c r="J770" s="33">
        <f t="shared" si="163"/>
        <v>81011</v>
      </c>
      <c r="K770" s="3">
        <v>9346</v>
      </c>
      <c r="L770" s="3">
        <v>63998</v>
      </c>
      <c r="M770" s="3">
        <v>6667</v>
      </c>
      <c r="N770" s="3">
        <v>0</v>
      </c>
      <c r="O770" s="3">
        <v>1000</v>
      </c>
      <c r="P770" s="1" t="s">
        <v>3388</v>
      </c>
      <c r="Q770" s="3">
        <v>54000</v>
      </c>
      <c r="R770" s="25">
        <f t="shared" si="164"/>
        <v>0.66657614398044707</v>
      </c>
      <c r="S770" s="32">
        <f>Q770</f>
        <v>54000</v>
      </c>
      <c r="T770" s="31">
        <f t="shared" si="165"/>
        <v>-27011</v>
      </c>
      <c r="U770" s="1" t="s">
        <v>3616</v>
      </c>
      <c r="V770" s="16"/>
      <c r="W770" s="30">
        <f t="shared" si="152"/>
        <v>0</v>
      </c>
      <c r="X770" s="27">
        <f t="shared" si="166"/>
        <v>0.66657614398044707</v>
      </c>
      <c r="Y770" s="18"/>
      <c r="Z770" s="19"/>
    </row>
    <row r="771" spans="1:26" x14ac:dyDescent="0.35">
      <c r="A771" s="29">
        <v>1</v>
      </c>
      <c r="B771" s="1" t="s">
        <v>3625</v>
      </c>
      <c r="C771" s="1"/>
      <c r="D771" s="1" t="s">
        <v>3374</v>
      </c>
      <c r="E771" s="1" t="s">
        <v>3375</v>
      </c>
      <c r="F771" s="1" t="s">
        <v>3376</v>
      </c>
      <c r="G771" s="5" t="s">
        <v>3377</v>
      </c>
      <c r="H771" s="1" t="s">
        <v>17</v>
      </c>
      <c r="I771" s="2">
        <v>46086</v>
      </c>
      <c r="J771" s="33">
        <f t="shared" si="163"/>
        <v>101013</v>
      </c>
      <c r="K771" s="3">
        <v>11696</v>
      </c>
      <c r="L771" s="3">
        <v>79984</v>
      </c>
      <c r="M771" s="3">
        <v>8333</v>
      </c>
      <c r="N771" s="3">
        <v>0</v>
      </c>
      <c r="O771" s="3">
        <v>1000</v>
      </c>
      <c r="P771" s="1" t="s">
        <v>3378</v>
      </c>
      <c r="Q771" s="3">
        <v>507294</v>
      </c>
      <c r="R771" s="25">
        <f t="shared" si="164"/>
        <v>5.0220664666924062</v>
      </c>
      <c r="S771" s="32">
        <f>J771</f>
        <v>101013</v>
      </c>
      <c r="T771" s="3">
        <f t="shared" si="165"/>
        <v>0</v>
      </c>
      <c r="U771" s="1" t="s">
        <v>3615</v>
      </c>
      <c r="V771" s="16">
        <v>1</v>
      </c>
      <c r="W771" s="28">
        <f t="shared" ref="W771:W834" si="167">V771/A771</f>
        <v>1</v>
      </c>
      <c r="X771" s="27">
        <f t="shared" si="166"/>
        <v>1</v>
      </c>
      <c r="Y771" s="18"/>
      <c r="Z771" s="19"/>
    </row>
    <row r="772" spans="1:26" x14ac:dyDescent="0.35">
      <c r="A772" s="29">
        <v>1</v>
      </c>
      <c r="B772" s="1" t="s">
        <v>3625</v>
      </c>
      <c r="C772" s="1"/>
      <c r="D772" s="1" t="s">
        <v>3594</v>
      </c>
      <c r="E772" s="1" t="s">
        <v>3595</v>
      </c>
      <c r="F772" s="1" t="s">
        <v>3596</v>
      </c>
      <c r="G772" s="5" t="s">
        <v>3597</v>
      </c>
      <c r="H772" s="1" t="s">
        <v>17</v>
      </c>
      <c r="I772" s="2">
        <v>46086</v>
      </c>
      <c r="J772" s="33">
        <f t="shared" si="163"/>
        <v>501067</v>
      </c>
      <c r="K772" s="3">
        <v>83836</v>
      </c>
      <c r="L772" s="3">
        <v>374564</v>
      </c>
      <c r="M772" s="3">
        <v>41667</v>
      </c>
      <c r="N772" s="3">
        <v>0</v>
      </c>
      <c r="O772" s="3">
        <v>1000</v>
      </c>
      <c r="P772" s="1" t="s">
        <v>3598</v>
      </c>
      <c r="Q772" s="3">
        <v>1193498</v>
      </c>
      <c r="R772" s="25">
        <f t="shared" si="164"/>
        <v>2.3819129976629871</v>
      </c>
      <c r="S772" s="32">
        <f>J772</f>
        <v>501067</v>
      </c>
      <c r="T772" s="3">
        <f t="shared" si="165"/>
        <v>0</v>
      </c>
      <c r="U772" s="1" t="s">
        <v>3615</v>
      </c>
      <c r="V772" s="16">
        <v>1</v>
      </c>
      <c r="W772" s="28">
        <f t="shared" si="167"/>
        <v>1</v>
      </c>
      <c r="X772" s="27">
        <f t="shared" si="166"/>
        <v>1</v>
      </c>
      <c r="Y772" s="18"/>
      <c r="Z772" s="19"/>
    </row>
    <row r="773" spans="1:26" x14ac:dyDescent="0.35">
      <c r="A773" s="29">
        <v>1</v>
      </c>
      <c r="B773" s="1" t="s">
        <v>3625</v>
      </c>
      <c r="C773" s="1"/>
      <c r="D773" s="1" t="s">
        <v>3360</v>
      </c>
      <c r="E773" s="1" t="s">
        <v>3361</v>
      </c>
      <c r="F773" s="1" t="s">
        <v>21</v>
      </c>
      <c r="G773" s="5" t="s">
        <v>3362</v>
      </c>
      <c r="H773" s="1" t="s">
        <v>17</v>
      </c>
      <c r="I773" s="2">
        <v>46086</v>
      </c>
      <c r="J773" s="33">
        <f t="shared" si="163"/>
        <v>501067</v>
      </c>
      <c r="K773" s="3">
        <v>58516</v>
      </c>
      <c r="L773" s="3">
        <v>399884</v>
      </c>
      <c r="M773" s="3">
        <v>41667</v>
      </c>
      <c r="N773" s="3">
        <v>0</v>
      </c>
      <c r="O773" s="3">
        <v>1000</v>
      </c>
      <c r="P773" s="1" t="s">
        <v>3363</v>
      </c>
      <c r="Q773" s="3">
        <v>1882480</v>
      </c>
      <c r="R773" s="25">
        <f t="shared" si="164"/>
        <v>3.7569426843116789</v>
      </c>
      <c r="S773" s="32">
        <f>J773</f>
        <v>501067</v>
      </c>
      <c r="T773" s="3">
        <f t="shared" si="165"/>
        <v>0</v>
      </c>
      <c r="U773" s="1" t="s">
        <v>3615</v>
      </c>
      <c r="V773" s="16">
        <v>1</v>
      </c>
      <c r="W773" s="28">
        <f t="shared" si="167"/>
        <v>1</v>
      </c>
      <c r="X773" s="27">
        <f t="shared" si="166"/>
        <v>1</v>
      </c>
      <c r="Y773" s="18"/>
      <c r="Z773" s="19"/>
    </row>
    <row r="774" spans="1:26" x14ac:dyDescent="0.35">
      <c r="A774" s="29">
        <v>1</v>
      </c>
      <c r="B774" s="1" t="s">
        <v>3625</v>
      </c>
      <c r="C774" s="1"/>
      <c r="D774" s="1" t="s">
        <v>3394</v>
      </c>
      <c r="E774" s="1" t="s">
        <v>3395</v>
      </c>
      <c r="F774" s="1" t="s">
        <v>21</v>
      </c>
      <c r="G774" s="5" t="s">
        <v>3396</v>
      </c>
      <c r="H774" s="1" t="s">
        <v>17</v>
      </c>
      <c r="I774" s="2">
        <v>46086</v>
      </c>
      <c r="J774" s="33">
        <f t="shared" si="163"/>
        <v>81392</v>
      </c>
      <c r="K774" s="3">
        <v>2112</v>
      </c>
      <c r="L774" s="3">
        <v>71613</v>
      </c>
      <c r="M774" s="3">
        <v>6667</v>
      </c>
      <c r="N774" s="3">
        <v>0</v>
      </c>
      <c r="O774" s="3">
        <v>1000</v>
      </c>
      <c r="P774" s="1" t="s">
        <v>3397</v>
      </c>
      <c r="Q774" s="3">
        <v>248198</v>
      </c>
      <c r="R774" s="25">
        <f t="shared" si="164"/>
        <v>3.0494151759386674</v>
      </c>
      <c r="S774" s="32">
        <f>J774</f>
        <v>81392</v>
      </c>
      <c r="T774" s="3">
        <f t="shared" si="165"/>
        <v>0</v>
      </c>
      <c r="U774" s="1" t="s">
        <v>3615</v>
      </c>
      <c r="V774" s="16">
        <v>1</v>
      </c>
      <c r="W774" s="28">
        <f t="shared" si="167"/>
        <v>1</v>
      </c>
      <c r="X774" s="27">
        <f t="shared" si="166"/>
        <v>1</v>
      </c>
      <c r="Y774" s="18"/>
      <c r="Z774" s="19"/>
    </row>
    <row r="775" spans="1:26" x14ac:dyDescent="0.35">
      <c r="A775" s="29">
        <v>1</v>
      </c>
      <c r="B775" s="1" t="s">
        <v>3625</v>
      </c>
      <c r="C775" s="1"/>
      <c r="D775" s="1" t="s">
        <v>3311</v>
      </c>
      <c r="E775" s="1" t="s">
        <v>3312</v>
      </c>
      <c r="F775" s="1" t="s">
        <v>21</v>
      </c>
      <c r="G775" s="5" t="s">
        <v>3313</v>
      </c>
      <c r="H775" s="1" t="s">
        <v>17</v>
      </c>
      <c r="I775" s="2">
        <v>46086</v>
      </c>
      <c r="J775" s="33">
        <f t="shared" si="163"/>
        <v>194430</v>
      </c>
      <c r="K775" s="3">
        <v>26818</v>
      </c>
      <c r="L775" s="3">
        <v>150898</v>
      </c>
      <c r="M775" s="3">
        <v>15714</v>
      </c>
      <c r="N775" s="3">
        <v>0</v>
      </c>
      <c r="O775" s="3">
        <v>1000</v>
      </c>
      <c r="P775" s="1" t="s">
        <v>3314</v>
      </c>
      <c r="Q775" s="3">
        <v>461237</v>
      </c>
      <c r="R775" s="25">
        <f t="shared" si="164"/>
        <v>2.3722522244509592</v>
      </c>
      <c r="S775" s="32">
        <f>J775</f>
        <v>194430</v>
      </c>
      <c r="T775" s="3">
        <f t="shared" si="165"/>
        <v>0</v>
      </c>
      <c r="U775" s="1" t="s">
        <v>3615</v>
      </c>
      <c r="V775" s="16">
        <v>1</v>
      </c>
      <c r="W775" s="28">
        <f t="shared" si="167"/>
        <v>1</v>
      </c>
      <c r="X775" s="27">
        <f t="shared" si="166"/>
        <v>1</v>
      </c>
      <c r="Y775" s="18"/>
      <c r="Z775" s="19"/>
    </row>
    <row r="776" spans="1:26" x14ac:dyDescent="0.35">
      <c r="A776" s="29">
        <v>1</v>
      </c>
      <c r="B776" s="1" t="s">
        <v>3625</v>
      </c>
      <c r="C776" s="1"/>
      <c r="D776" s="1" t="s">
        <v>3398</v>
      </c>
      <c r="E776" s="1" t="s">
        <v>3399</v>
      </c>
      <c r="F776" s="1" t="s">
        <v>21</v>
      </c>
      <c r="G776" s="5" t="s">
        <v>3400</v>
      </c>
      <c r="H776" s="1" t="s">
        <v>17</v>
      </c>
      <c r="I776" s="2">
        <v>46086</v>
      </c>
      <c r="J776" s="33">
        <f t="shared" si="163"/>
        <v>101013</v>
      </c>
      <c r="K776" s="3">
        <v>4873</v>
      </c>
      <c r="L776" s="3">
        <v>86807</v>
      </c>
      <c r="M776" s="3">
        <v>8333</v>
      </c>
      <c r="N776" s="3">
        <v>0</v>
      </c>
      <c r="O776" s="3">
        <v>1000</v>
      </c>
      <c r="P776" s="1" t="s">
        <v>3401</v>
      </c>
      <c r="Q776" s="3">
        <v>98552</v>
      </c>
      <c r="R776" s="25">
        <f t="shared" si="164"/>
        <v>0.97563679922386226</v>
      </c>
      <c r="S776" s="32">
        <f>Q776</f>
        <v>98552</v>
      </c>
      <c r="T776" s="31">
        <f t="shared" si="165"/>
        <v>-2461</v>
      </c>
      <c r="U776" s="1" t="s">
        <v>3616</v>
      </c>
      <c r="V776" s="16"/>
      <c r="W776" s="30">
        <f t="shared" si="167"/>
        <v>0</v>
      </c>
      <c r="X776" s="27">
        <f t="shared" si="166"/>
        <v>0.97563679922386226</v>
      </c>
      <c r="Y776" s="18"/>
      <c r="Z776" s="19"/>
    </row>
    <row r="777" spans="1:26" x14ac:dyDescent="0.35">
      <c r="A777" s="29">
        <v>1</v>
      </c>
      <c r="B777" s="1" t="s">
        <v>3625</v>
      </c>
      <c r="C777" s="1"/>
      <c r="D777" s="1" t="s">
        <v>3274</v>
      </c>
      <c r="E777" s="1" t="s">
        <v>3275</v>
      </c>
      <c r="F777" s="1" t="s">
        <v>21</v>
      </c>
      <c r="G777" s="5" t="s">
        <v>3276</v>
      </c>
      <c r="H777" s="1" t="s">
        <v>17</v>
      </c>
      <c r="I777" s="2">
        <v>46086</v>
      </c>
      <c r="J777" s="33">
        <f t="shared" si="163"/>
        <v>151020</v>
      </c>
      <c r="K777" s="3">
        <v>7310</v>
      </c>
      <c r="L777" s="3">
        <v>130210</v>
      </c>
      <c r="M777" s="3">
        <v>12500</v>
      </c>
      <c r="N777" s="3">
        <v>0</v>
      </c>
      <c r="O777" s="3">
        <v>1000</v>
      </c>
      <c r="P777" s="1" t="s">
        <v>3277</v>
      </c>
      <c r="Q777" s="3">
        <v>17338</v>
      </c>
      <c r="R777" s="25">
        <f t="shared" si="164"/>
        <v>0.11480598596212423</v>
      </c>
      <c r="S777" s="32">
        <f>Q777</f>
        <v>17338</v>
      </c>
      <c r="T777" s="31">
        <f t="shared" si="165"/>
        <v>-133682</v>
      </c>
      <c r="U777" s="1" t="s">
        <v>3616</v>
      </c>
      <c r="V777" s="16"/>
      <c r="W777" s="30">
        <f t="shared" si="167"/>
        <v>0</v>
      </c>
      <c r="X777" s="27">
        <f t="shared" si="166"/>
        <v>0.11480598596212423</v>
      </c>
      <c r="Y777" s="18"/>
      <c r="Z777" s="19"/>
    </row>
    <row r="778" spans="1:26" x14ac:dyDescent="0.35">
      <c r="A778" s="29">
        <v>1</v>
      </c>
      <c r="B778" s="1" t="s">
        <v>3625</v>
      </c>
      <c r="C778" s="1"/>
      <c r="D778" s="1" t="s">
        <v>3270</v>
      </c>
      <c r="E778" s="1" t="s">
        <v>3271</v>
      </c>
      <c r="F778" s="1" t="s">
        <v>21</v>
      </c>
      <c r="G778" s="5" t="s">
        <v>3272</v>
      </c>
      <c r="H778" s="1" t="s">
        <v>17</v>
      </c>
      <c r="I778" s="2">
        <v>46086</v>
      </c>
      <c r="J778" s="33">
        <f t="shared" si="163"/>
        <v>51007</v>
      </c>
      <c r="K778" s="3">
        <v>2437</v>
      </c>
      <c r="L778" s="3">
        <v>43403</v>
      </c>
      <c r="M778" s="3">
        <v>4167</v>
      </c>
      <c r="N778" s="3">
        <v>0</v>
      </c>
      <c r="O778" s="3">
        <v>1000</v>
      </c>
      <c r="P778" s="1" t="s">
        <v>3273</v>
      </c>
      <c r="Q778" s="3">
        <v>45701</v>
      </c>
      <c r="R778" s="25">
        <f t="shared" si="164"/>
        <v>0.89597506224635837</v>
      </c>
      <c r="S778" s="32">
        <f>Q778</f>
        <v>45701</v>
      </c>
      <c r="T778" s="31">
        <f t="shared" si="165"/>
        <v>-5306</v>
      </c>
      <c r="U778" s="1" t="s">
        <v>3616</v>
      </c>
      <c r="V778" s="16"/>
      <c r="W778" s="30">
        <f t="shared" si="167"/>
        <v>0</v>
      </c>
      <c r="X778" s="27">
        <f t="shared" si="166"/>
        <v>0.89597506224635837</v>
      </c>
      <c r="Y778" s="18"/>
      <c r="Z778" s="19"/>
    </row>
    <row r="779" spans="1:26" x14ac:dyDescent="0.35">
      <c r="A779" s="29">
        <v>1</v>
      </c>
      <c r="B779" s="1" t="s">
        <v>3625</v>
      </c>
      <c r="C779" s="1"/>
      <c r="D779" s="1" t="s">
        <v>3266</v>
      </c>
      <c r="E779" s="1" t="s">
        <v>3267</v>
      </c>
      <c r="F779" s="1" t="s">
        <v>21</v>
      </c>
      <c r="G779" s="5" t="s">
        <v>3268</v>
      </c>
      <c r="H779" s="1" t="s">
        <v>17</v>
      </c>
      <c r="I779" s="2">
        <v>46086</v>
      </c>
      <c r="J779" s="33">
        <f t="shared" si="163"/>
        <v>501067</v>
      </c>
      <c r="K779" s="3">
        <v>24367</v>
      </c>
      <c r="L779" s="3">
        <v>434033</v>
      </c>
      <c r="M779" s="3">
        <v>41667</v>
      </c>
      <c r="N779" s="3">
        <v>0</v>
      </c>
      <c r="O779" s="3">
        <v>1000</v>
      </c>
      <c r="P779" s="1" t="s">
        <v>3269</v>
      </c>
      <c r="Q779" s="3">
        <v>456667</v>
      </c>
      <c r="R779" s="25">
        <f t="shared" si="164"/>
        <v>0.91138909566984061</v>
      </c>
      <c r="S779" s="32">
        <f>Q779</f>
        <v>456667</v>
      </c>
      <c r="T779" s="31">
        <f t="shared" si="165"/>
        <v>-44400</v>
      </c>
      <c r="U779" s="1" t="s">
        <v>3616</v>
      </c>
      <c r="V779" s="16"/>
      <c r="W779" s="30">
        <f t="shared" si="167"/>
        <v>0</v>
      </c>
      <c r="X779" s="27">
        <f t="shared" si="166"/>
        <v>0.91138909566984061</v>
      </c>
      <c r="Y779" s="18"/>
      <c r="Z779" s="19"/>
    </row>
    <row r="780" spans="1:26" x14ac:dyDescent="0.35">
      <c r="A780" s="29">
        <v>1</v>
      </c>
      <c r="B780" s="1" t="s">
        <v>3625</v>
      </c>
      <c r="C780" s="1"/>
      <c r="D780" s="1" t="s">
        <v>3407</v>
      </c>
      <c r="E780" s="1" t="s">
        <v>3408</v>
      </c>
      <c r="F780" s="1" t="s">
        <v>21</v>
      </c>
      <c r="G780" s="5" t="s">
        <v>3409</v>
      </c>
      <c r="H780" s="1" t="s">
        <v>17</v>
      </c>
      <c r="I780" s="2">
        <v>46086</v>
      </c>
      <c r="J780" s="33">
        <f t="shared" si="163"/>
        <v>21003</v>
      </c>
      <c r="K780" s="3">
        <v>1453</v>
      </c>
      <c r="L780" s="3">
        <v>16883</v>
      </c>
      <c r="M780" s="3">
        <v>1667</v>
      </c>
      <c r="N780" s="3">
        <v>0</v>
      </c>
      <c r="O780" s="3">
        <v>1000</v>
      </c>
      <c r="P780" s="1" t="s">
        <v>3410</v>
      </c>
      <c r="Q780" s="3">
        <v>31784</v>
      </c>
      <c r="R780" s="25">
        <f t="shared" si="164"/>
        <v>1.5133076227205637</v>
      </c>
      <c r="S780" s="32">
        <f t="shared" ref="S780:S785" si="168">J780</f>
        <v>21003</v>
      </c>
      <c r="T780" s="3">
        <f t="shared" si="165"/>
        <v>0</v>
      </c>
      <c r="U780" s="1" t="s">
        <v>3615</v>
      </c>
      <c r="V780" s="16">
        <v>1</v>
      </c>
      <c r="W780" s="28">
        <f t="shared" si="167"/>
        <v>1</v>
      </c>
      <c r="X780" s="27">
        <f t="shared" si="166"/>
        <v>1</v>
      </c>
      <c r="Y780" s="18"/>
      <c r="Z780" s="19"/>
    </row>
    <row r="781" spans="1:26" x14ac:dyDescent="0.35">
      <c r="A781" s="29">
        <v>1</v>
      </c>
      <c r="B781" s="1" t="s">
        <v>3625</v>
      </c>
      <c r="C781" s="1"/>
      <c r="D781" s="1" t="s">
        <v>3494</v>
      </c>
      <c r="E781" s="1" t="s">
        <v>3495</v>
      </c>
      <c r="F781" s="1" t="s">
        <v>21</v>
      </c>
      <c r="G781" s="5" t="s">
        <v>3496</v>
      </c>
      <c r="H781" s="1" t="s">
        <v>17</v>
      </c>
      <c r="I781" s="2">
        <v>46086</v>
      </c>
      <c r="J781" s="33">
        <f t="shared" si="163"/>
        <v>302470</v>
      </c>
      <c r="K781" s="3">
        <v>26688</v>
      </c>
      <c r="L781" s="3">
        <v>249782</v>
      </c>
      <c r="M781" s="3">
        <v>25000</v>
      </c>
      <c r="N781" s="3">
        <v>0</v>
      </c>
      <c r="O781" s="3">
        <v>1000</v>
      </c>
      <c r="P781" s="1" t="s">
        <v>3497</v>
      </c>
      <c r="Q781" s="3">
        <v>464596</v>
      </c>
      <c r="R781" s="25">
        <f t="shared" si="164"/>
        <v>1.5360068767150461</v>
      </c>
      <c r="S781" s="32">
        <f t="shared" si="168"/>
        <v>302470</v>
      </c>
      <c r="T781" s="3">
        <f t="shared" si="165"/>
        <v>0</v>
      </c>
      <c r="U781" s="1" t="s">
        <v>3615</v>
      </c>
      <c r="V781" s="16">
        <v>1</v>
      </c>
      <c r="W781" s="28">
        <f t="shared" si="167"/>
        <v>1</v>
      </c>
      <c r="X781" s="27">
        <f t="shared" si="166"/>
        <v>1</v>
      </c>
      <c r="Y781" s="18"/>
      <c r="Z781" s="19"/>
    </row>
    <row r="782" spans="1:26" x14ac:dyDescent="0.35">
      <c r="A782" s="29">
        <v>1</v>
      </c>
      <c r="B782" s="1" t="s">
        <v>3625</v>
      </c>
      <c r="C782" s="1"/>
      <c r="D782" s="1" t="s">
        <v>3420</v>
      </c>
      <c r="E782" s="1" t="s">
        <v>3421</v>
      </c>
      <c r="F782" s="1" t="s">
        <v>21</v>
      </c>
      <c r="G782" s="5" t="s">
        <v>3422</v>
      </c>
      <c r="H782" s="1" t="s">
        <v>17</v>
      </c>
      <c r="I782" s="2">
        <v>46086</v>
      </c>
      <c r="J782" s="33">
        <f t="shared" si="163"/>
        <v>46220</v>
      </c>
      <c r="K782" s="3">
        <v>3460</v>
      </c>
      <c r="L782" s="3">
        <v>38010</v>
      </c>
      <c r="M782" s="3">
        <v>3750</v>
      </c>
      <c r="N782" s="3">
        <v>0</v>
      </c>
      <c r="O782" s="3">
        <v>1000</v>
      </c>
      <c r="P782" s="1" t="s">
        <v>3423</v>
      </c>
      <c r="Q782" s="3">
        <v>79428</v>
      </c>
      <c r="R782" s="25">
        <f t="shared" si="164"/>
        <v>1.7184768498485503</v>
      </c>
      <c r="S782" s="32">
        <f t="shared" si="168"/>
        <v>46220</v>
      </c>
      <c r="T782" s="3">
        <f t="shared" si="165"/>
        <v>0</v>
      </c>
      <c r="U782" s="1" t="s">
        <v>3615</v>
      </c>
      <c r="V782" s="16">
        <v>1</v>
      </c>
      <c r="W782" s="28">
        <f t="shared" si="167"/>
        <v>1</v>
      </c>
      <c r="X782" s="27">
        <f t="shared" si="166"/>
        <v>1</v>
      </c>
      <c r="Y782" s="18"/>
      <c r="Z782" s="19"/>
    </row>
    <row r="783" spans="1:26" x14ac:dyDescent="0.35">
      <c r="A783" s="29">
        <v>1</v>
      </c>
      <c r="B783" s="1" t="s">
        <v>3625</v>
      </c>
      <c r="C783" s="1"/>
      <c r="D783" s="1" t="s">
        <v>3411</v>
      </c>
      <c r="E783" s="1" t="s">
        <v>3412</v>
      </c>
      <c r="F783" s="1" t="s">
        <v>21</v>
      </c>
      <c r="G783" s="5" t="s">
        <v>3413</v>
      </c>
      <c r="H783" s="1" t="s">
        <v>17</v>
      </c>
      <c r="I783" s="2">
        <v>46086</v>
      </c>
      <c r="J783" s="33">
        <f t="shared" si="163"/>
        <v>61008</v>
      </c>
      <c r="K783" s="3">
        <v>4359</v>
      </c>
      <c r="L783" s="3">
        <v>50649</v>
      </c>
      <c r="M783" s="3">
        <v>5000</v>
      </c>
      <c r="N783" s="3">
        <v>0</v>
      </c>
      <c r="O783" s="3">
        <v>1000</v>
      </c>
      <c r="P783" s="1" t="s">
        <v>3414</v>
      </c>
      <c r="Q783" s="3">
        <v>127949</v>
      </c>
      <c r="R783" s="25">
        <f t="shared" si="164"/>
        <v>2.0972495410437975</v>
      </c>
      <c r="S783" s="32">
        <f t="shared" si="168"/>
        <v>61008</v>
      </c>
      <c r="T783" s="3">
        <f t="shared" si="165"/>
        <v>0</v>
      </c>
      <c r="U783" s="1" t="s">
        <v>3615</v>
      </c>
      <c r="V783" s="16">
        <v>1</v>
      </c>
      <c r="W783" s="28">
        <f t="shared" si="167"/>
        <v>1</v>
      </c>
      <c r="X783" s="27">
        <f t="shared" si="166"/>
        <v>1</v>
      </c>
      <c r="Y783" s="18"/>
      <c r="Z783" s="19"/>
    </row>
    <row r="784" spans="1:26" x14ac:dyDescent="0.35">
      <c r="A784" s="29">
        <v>1</v>
      </c>
      <c r="B784" s="1" t="s">
        <v>3625</v>
      </c>
      <c r="C784" s="1"/>
      <c r="D784" s="1" t="s">
        <v>3453</v>
      </c>
      <c r="E784" s="1" t="s">
        <v>3454</v>
      </c>
      <c r="F784" s="1" t="s">
        <v>21</v>
      </c>
      <c r="G784" s="5" t="s">
        <v>3455</v>
      </c>
      <c r="H784" s="1" t="s">
        <v>17</v>
      </c>
      <c r="I784" s="2">
        <v>46086</v>
      </c>
      <c r="J784" s="33">
        <f t="shared" si="163"/>
        <v>31004</v>
      </c>
      <c r="K784" s="3">
        <v>2527</v>
      </c>
      <c r="L784" s="3">
        <v>24977</v>
      </c>
      <c r="M784" s="3">
        <v>2500</v>
      </c>
      <c r="N784" s="3">
        <v>0</v>
      </c>
      <c r="O784" s="3">
        <v>1000</v>
      </c>
      <c r="P784" s="1" t="s">
        <v>3456</v>
      </c>
      <c r="Q784" s="3">
        <v>63880</v>
      </c>
      <c r="R784" s="25">
        <f t="shared" si="164"/>
        <v>2.0603793058960136</v>
      </c>
      <c r="S784" s="32">
        <f t="shared" si="168"/>
        <v>31004</v>
      </c>
      <c r="T784" s="3">
        <f t="shared" si="165"/>
        <v>0</v>
      </c>
      <c r="U784" s="1" t="s">
        <v>3615</v>
      </c>
      <c r="V784" s="16">
        <v>1</v>
      </c>
      <c r="W784" s="28">
        <f t="shared" si="167"/>
        <v>1</v>
      </c>
      <c r="X784" s="27">
        <f t="shared" si="166"/>
        <v>1</v>
      </c>
      <c r="Y784" s="18"/>
      <c r="Z784" s="19"/>
    </row>
    <row r="785" spans="1:26" x14ac:dyDescent="0.35">
      <c r="A785" s="29">
        <v>1</v>
      </c>
      <c r="B785" s="1" t="s">
        <v>3625</v>
      </c>
      <c r="C785" s="1"/>
      <c r="D785" s="1" t="s">
        <v>3457</v>
      </c>
      <c r="E785" s="1" t="s">
        <v>3458</v>
      </c>
      <c r="F785" s="1" t="s">
        <v>21</v>
      </c>
      <c r="G785" s="5" t="s">
        <v>3459</v>
      </c>
      <c r="H785" s="1" t="s">
        <v>17</v>
      </c>
      <c r="I785" s="2">
        <v>46086</v>
      </c>
      <c r="J785" s="33">
        <f t="shared" si="163"/>
        <v>201027</v>
      </c>
      <c r="K785" s="3">
        <v>16846</v>
      </c>
      <c r="L785" s="3">
        <v>166514</v>
      </c>
      <c r="M785" s="3">
        <v>16667</v>
      </c>
      <c r="N785" s="3">
        <v>0</v>
      </c>
      <c r="O785" s="3">
        <v>1000</v>
      </c>
      <c r="P785" s="1" t="s">
        <v>3460</v>
      </c>
      <c r="Q785" s="3">
        <v>291797</v>
      </c>
      <c r="R785" s="25">
        <f t="shared" si="164"/>
        <v>1.4515313863311894</v>
      </c>
      <c r="S785" s="32">
        <f t="shared" si="168"/>
        <v>201027</v>
      </c>
      <c r="T785" s="3">
        <f t="shared" si="165"/>
        <v>0</v>
      </c>
      <c r="U785" s="1" t="s">
        <v>3615</v>
      </c>
      <c r="V785" s="16">
        <v>1</v>
      </c>
      <c r="W785" s="28">
        <f t="shared" si="167"/>
        <v>1</v>
      </c>
      <c r="X785" s="27">
        <f t="shared" si="166"/>
        <v>1</v>
      </c>
      <c r="Y785" s="18"/>
      <c r="Z785" s="19"/>
    </row>
    <row r="786" spans="1:26" x14ac:dyDescent="0.35">
      <c r="A786" s="29">
        <v>1</v>
      </c>
      <c r="B786" s="1" t="s">
        <v>3625</v>
      </c>
      <c r="C786" s="1"/>
      <c r="D786" s="1" t="s">
        <v>3434</v>
      </c>
      <c r="E786" s="1" t="s">
        <v>3435</v>
      </c>
      <c r="F786" s="1" t="s">
        <v>21</v>
      </c>
      <c r="G786" s="5" t="s">
        <v>3436</v>
      </c>
      <c r="H786" s="1" t="s">
        <v>17</v>
      </c>
      <c r="I786" s="2">
        <v>46086</v>
      </c>
      <c r="J786" s="33">
        <f t="shared" si="163"/>
        <v>201980</v>
      </c>
      <c r="K786" s="3">
        <v>17841</v>
      </c>
      <c r="L786" s="3">
        <v>166472</v>
      </c>
      <c r="M786" s="3">
        <v>16667</v>
      </c>
      <c r="N786" s="3">
        <v>0</v>
      </c>
      <c r="O786" s="3">
        <v>1000</v>
      </c>
      <c r="P786" s="1" t="s">
        <v>3437</v>
      </c>
      <c r="Q786" s="3">
        <v>92168</v>
      </c>
      <c r="R786" s="25">
        <f t="shared" si="164"/>
        <v>0.4563224081592237</v>
      </c>
      <c r="S786" s="32">
        <f>Q786</f>
        <v>92168</v>
      </c>
      <c r="T786" s="31">
        <f t="shared" si="165"/>
        <v>-109812</v>
      </c>
      <c r="U786" s="1" t="s">
        <v>3616</v>
      </c>
      <c r="V786" s="16"/>
      <c r="W786" s="30">
        <f t="shared" si="167"/>
        <v>0</v>
      </c>
      <c r="X786" s="27">
        <f t="shared" si="166"/>
        <v>0.4563224081592237</v>
      </c>
      <c r="Y786" s="18"/>
      <c r="Z786" s="19"/>
    </row>
    <row r="787" spans="1:26" x14ac:dyDescent="0.35">
      <c r="A787" s="29">
        <v>1</v>
      </c>
      <c r="B787" s="1" t="s">
        <v>3625</v>
      </c>
      <c r="C787" s="1"/>
      <c r="D787" s="1" t="s">
        <v>3508</v>
      </c>
      <c r="E787" s="1" t="s">
        <v>3509</v>
      </c>
      <c r="F787" s="1" t="s">
        <v>21</v>
      </c>
      <c r="G787" s="5" t="s">
        <v>3510</v>
      </c>
      <c r="H787" s="1" t="s">
        <v>17</v>
      </c>
      <c r="I787" s="2">
        <v>46086</v>
      </c>
      <c r="J787" s="33">
        <f t="shared" si="163"/>
        <v>31004</v>
      </c>
      <c r="K787" s="3">
        <v>2520</v>
      </c>
      <c r="L787" s="3">
        <v>24984</v>
      </c>
      <c r="M787" s="3">
        <v>2500</v>
      </c>
      <c r="N787" s="3">
        <v>0</v>
      </c>
      <c r="O787" s="3">
        <v>1000</v>
      </c>
      <c r="P787" s="1" t="s">
        <v>3511</v>
      </c>
      <c r="Q787" s="3">
        <v>88480</v>
      </c>
      <c r="R787" s="25">
        <f t="shared" si="164"/>
        <v>2.8538253128628566</v>
      </c>
      <c r="S787" s="32">
        <f>J787</f>
        <v>31004</v>
      </c>
      <c r="T787" s="3">
        <f t="shared" si="165"/>
        <v>0</v>
      </c>
      <c r="U787" s="1" t="s">
        <v>3615</v>
      </c>
      <c r="V787" s="16">
        <v>1</v>
      </c>
      <c r="W787" s="28">
        <f t="shared" si="167"/>
        <v>1</v>
      </c>
      <c r="X787" s="27">
        <f t="shared" si="166"/>
        <v>1</v>
      </c>
      <c r="Y787" s="18"/>
      <c r="Z787" s="19"/>
    </row>
    <row r="788" spans="1:26" x14ac:dyDescent="0.35">
      <c r="A788" s="29">
        <v>1</v>
      </c>
      <c r="B788" s="1" t="s">
        <v>3625</v>
      </c>
      <c r="C788" s="1"/>
      <c r="D788" s="1" t="s">
        <v>3527</v>
      </c>
      <c r="E788" s="1" t="s">
        <v>3528</v>
      </c>
      <c r="F788" s="1" t="s">
        <v>21</v>
      </c>
      <c r="G788" s="5" t="s">
        <v>3529</v>
      </c>
      <c r="H788" s="1" t="s">
        <v>17</v>
      </c>
      <c r="I788" s="2">
        <v>46086</v>
      </c>
      <c r="J788" s="33">
        <f t="shared" si="163"/>
        <v>31004</v>
      </c>
      <c r="K788" s="3">
        <v>2520</v>
      </c>
      <c r="L788" s="3">
        <v>24984</v>
      </c>
      <c r="M788" s="3">
        <v>2500</v>
      </c>
      <c r="N788" s="3">
        <v>0</v>
      </c>
      <c r="O788" s="3">
        <v>1000</v>
      </c>
      <c r="P788" s="1" t="s">
        <v>3530</v>
      </c>
      <c r="Q788" s="3">
        <v>234500</v>
      </c>
      <c r="R788" s="25">
        <f t="shared" si="164"/>
        <v>7.5635401883627917</v>
      </c>
      <c r="S788" s="32">
        <f>J788</f>
        <v>31004</v>
      </c>
      <c r="T788" s="3">
        <f t="shared" si="165"/>
        <v>0</v>
      </c>
      <c r="U788" s="1" t="s">
        <v>3615</v>
      </c>
      <c r="V788" s="16">
        <v>1</v>
      </c>
      <c r="W788" s="28">
        <f t="shared" si="167"/>
        <v>1</v>
      </c>
      <c r="X788" s="27">
        <f t="shared" si="166"/>
        <v>1</v>
      </c>
      <c r="Y788" s="18"/>
      <c r="Z788" s="19"/>
    </row>
    <row r="789" spans="1:26" x14ac:dyDescent="0.35">
      <c r="A789" s="29">
        <v>1</v>
      </c>
      <c r="B789" s="1" t="s">
        <v>3625</v>
      </c>
      <c r="C789" s="1"/>
      <c r="D789" s="1" t="s">
        <v>3531</v>
      </c>
      <c r="E789" s="1" t="s">
        <v>3532</v>
      </c>
      <c r="F789" s="1" t="s">
        <v>21</v>
      </c>
      <c r="G789" s="5" t="s">
        <v>3533</v>
      </c>
      <c r="H789" s="1" t="s">
        <v>17</v>
      </c>
      <c r="I789" s="2">
        <v>46086</v>
      </c>
      <c r="J789" s="33">
        <f t="shared" ref="J789:J820" si="169">SUM(K789:O789)</f>
        <v>26122</v>
      </c>
      <c r="K789" s="3">
        <v>2222</v>
      </c>
      <c r="L789" s="3">
        <v>20817</v>
      </c>
      <c r="M789" s="3">
        <v>2083</v>
      </c>
      <c r="N789" s="3">
        <v>0</v>
      </c>
      <c r="O789" s="3">
        <v>1000</v>
      </c>
      <c r="P789" s="1" t="s">
        <v>3534</v>
      </c>
      <c r="Q789" s="3">
        <v>23674</v>
      </c>
      <c r="R789" s="25">
        <f t="shared" ref="R789:R820" si="170">Q789/J789</f>
        <v>0.90628588928872211</v>
      </c>
      <c r="S789" s="32">
        <f>Q789</f>
        <v>23674</v>
      </c>
      <c r="T789" s="31">
        <f t="shared" ref="T789:T820" si="171">S789-J789</f>
        <v>-2448</v>
      </c>
      <c r="U789" s="1" t="s">
        <v>3616</v>
      </c>
      <c r="V789" s="16"/>
      <c r="W789" s="30">
        <f t="shared" si="167"/>
        <v>0</v>
      </c>
      <c r="X789" s="27">
        <f t="shared" ref="X789:X800" si="172">S789/J789</f>
        <v>0.90628588928872211</v>
      </c>
      <c r="Y789" s="18"/>
      <c r="Z789" s="19"/>
    </row>
    <row r="790" spans="1:26" x14ac:dyDescent="0.35">
      <c r="A790" s="29">
        <v>1</v>
      </c>
      <c r="B790" s="1" t="s">
        <v>3625</v>
      </c>
      <c r="C790" s="1"/>
      <c r="D790" s="1" t="s">
        <v>3535</v>
      </c>
      <c r="E790" s="1" t="s">
        <v>3536</v>
      </c>
      <c r="F790" s="1" t="s">
        <v>21</v>
      </c>
      <c r="G790" s="5" t="s">
        <v>3537</v>
      </c>
      <c r="H790" s="1" t="s">
        <v>32</v>
      </c>
      <c r="I790" s="2">
        <v>46086</v>
      </c>
      <c r="J790" s="33">
        <f t="shared" si="169"/>
        <v>131017</v>
      </c>
      <c r="K790" s="3">
        <v>12423</v>
      </c>
      <c r="L790" s="3">
        <v>106761</v>
      </c>
      <c r="M790" s="3">
        <v>10833</v>
      </c>
      <c r="N790" s="3">
        <v>0</v>
      </c>
      <c r="O790" s="3">
        <v>1000</v>
      </c>
      <c r="P790" s="1" t="s">
        <v>3538</v>
      </c>
      <c r="Q790" s="3">
        <v>53264</v>
      </c>
      <c r="R790" s="25">
        <f t="shared" si="170"/>
        <v>0.40654266240258896</v>
      </c>
      <c r="S790" s="32">
        <f>Q790</f>
        <v>53264</v>
      </c>
      <c r="T790" s="31">
        <f t="shared" si="171"/>
        <v>-77753</v>
      </c>
      <c r="U790" s="1" t="s">
        <v>3616</v>
      </c>
      <c r="V790" s="16"/>
      <c r="W790" s="30">
        <f t="shared" si="167"/>
        <v>0</v>
      </c>
      <c r="X790" s="27">
        <f t="shared" si="172"/>
        <v>0.40654266240258896</v>
      </c>
      <c r="Y790" s="18"/>
      <c r="Z790" s="19"/>
    </row>
    <row r="791" spans="1:26" x14ac:dyDescent="0.35">
      <c r="A791" s="29">
        <v>1</v>
      </c>
      <c r="B791" s="1" t="s">
        <v>3625</v>
      </c>
      <c r="C791" s="1"/>
      <c r="D791" s="1" t="s">
        <v>3470</v>
      </c>
      <c r="E791" s="1" t="s">
        <v>3471</v>
      </c>
      <c r="F791" s="1" t="s">
        <v>21</v>
      </c>
      <c r="G791" s="5" t="s">
        <v>3472</v>
      </c>
      <c r="H791" s="1" t="s">
        <v>17</v>
      </c>
      <c r="I791" s="2">
        <v>46086</v>
      </c>
      <c r="J791" s="33">
        <f t="shared" si="169"/>
        <v>301040</v>
      </c>
      <c r="K791" s="3">
        <v>25225</v>
      </c>
      <c r="L791" s="3">
        <v>249815</v>
      </c>
      <c r="M791" s="3">
        <v>25000</v>
      </c>
      <c r="N791" s="3">
        <v>0</v>
      </c>
      <c r="O791" s="3">
        <v>1000</v>
      </c>
      <c r="P791" s="1" t="s">
        <v>3473</v>
      </c>
      <c r="Q791" s="3">
        <v>185750</v>
      </c>
      <c r="R791" s="25">
        <f t="shared" si="170"/>
        <v>0.61702763752325274</v>
      </c>
      <c r="S791" s="32">
        <f>Q791</f>
        <v>185750</v>
      </c>
      <c r="T791" s="31">
        <f t="shared" si="171"/>
        <v>-115290</v>
      </c>
      <c r="U791" s="1" t="s">
        <v>3616</v>
      </c>
      <c r="V791" s="16"/>
      <c r="W791" s="30">
        <f t="shared" si="167"/>
        <v>0</v>
      </c>
      <c r="X791" s="27">
        <f t="shared" si="172"/>
        <v>0.61702763752325274</v>
      </c>
      <c r="Y791" s="18"/>
      <c r="Z791" s="19"/>
    </row>
    <row r="792" spans="1:26" x14ac:dyDescent="0.35">
      <c r="A792" s="29">
        <v>1</v>
      </c>
      <c r="B792" s="1" t="s">
        <v>3625</v>
      </c>
      <c r="C792" s="1"/>
      <c r="D792" s="1" t="s">
        <v>3466</v>
      </c>
      <c r="E792" s="1" t="s">
        <v>3467</v>
      </c>
      <c r="F792" s="1" t="s">
        <v>21</v>
      </c>
      <c r="G792" s="5" t="s">
        <v>3468</v>
      </c>
      <c r="H792" s="1" t="s">
        <v>17</v>
      </c>
      <c r="I792" s="2">
        <v>46086</v>
      </c>
      <c r="J792" s="33">
        <f t="shared" si="169"/>
        <v>401053</v>
      </c>
      <c r="K792" s="3">
        <v>33633</v>
      </c>
      <c r="L792" s="3">
        <v>333087</v>
      </c>
      <c r="M792" s="3">
        <v>33333</v>
      </c>
      <c r="N792" s="3">
        <v>0</v>
      </c>
      <c r="O792" s="3">
        <v>1000</v>
      </c>
      <c r="P792" s="1" t="s">
        <v>3469</v>
      </c>
      <c r="Q792" s="3">
        <v>289123</v>
      </c>
      <c r="R792" s="25">
        <f t="shared" si="170"/>
        <v>0.72090970520105824</v>
      </c>
      <c r="S792" s="32">
        <f>Q792</f>
        <v>289123</v>
      </c>
      <c r="T792" s="31">
        <f t="shared" si="171"/>
        <v>-111930</v>
      </c>
      <c r="U792" s="1" t="s">
        <v>3616</v>
      </c>
      <c r="V792" s="16"/>
      <c r="W792" s="30">
        <f t="shared" si="167"/>
        <v>0</v>
      </c>
      <c r="X792" s="27">
        <f t="shared" si="172"/>
        <v>0.72090970520105824</v>
      </c>
      <c r="Y792" s="18"/>
      <c r="Z792" s="19"/>
    </row>
    <row r="793" spans="1:26" x14ac:dyDescent="0.35">
      <c r="A793" s="29">
        <v>1</v>
      </c>
      <c r="B793" s="1" t="s">
        <v>3625</v>
      </c>
      <c r="C793" s="1"/>
      <c r="D793" s="1" t="s">
        <v>3558</v>
      </c>
      <c r="E793" s="1" t="s">
        <v>3559</v>
      </c>
      <c r="F793" s="1" t="s">
        <v>21</v>
      </c>
      <c r="G793" s="5" t="s">
        <v>3560</v>
      </c>
      <c r="H793" s="1" t="s">
        <v>17</v>
      </c>
      <c r="I793" s="2">
        <v>46086</v>
      </c>
      <c r="J793" s="33">
        <f t="shared" si="169"/>
        <v>11001</v>
      </c>
      <c r="K793" s="3">
        <v>1169</v>
      </c>
      <c r="L793" s="3">
        <v>7999</v>
      </c>
      <c r="M793" s="3">
        <v>833</v>
      </c>
      <c r="N793" s="3">
        <v>0</v>
      </c>
      <c r="O793" s="3">
        <v>1000</v>
      </c>
      <c r="P793" s="1" t="s">
        <v>3561</v>
      </c>
      <c r="Q793" s="3">
        <v>39164</v>
      </c>
      <c r="R793" s="25">
        <f t="shared" si="170"/>
        <v>3.5600399963639671</v>
      </c>
      <c r="S793" s="32">
        <f t="shared" ref="S793:S799" si="173">J793</f>
        <v>11001</v>
      </c>
      <c r="T793" s="3">
        <f t="shared" si="171"/>
        <v>0</v>
      </c>
      <c r="U793" s="1" t="s">
        <v>3615</v>
      </c>
      <c r="V793" s="16">
        <v>1</v>
      </c>
      <c r="W793" s="28">
        <f t="shared" si="167"/>
        <v>1</v>
      </c>
      <c r="X793" s="27">
        <f t="shared" si="172"/>
        <v>1</v>
      </c>
      <c r="Y793" s="18"/>
      <c r="Z793" s="19"/>
    </row>
    <row r="794" spans="1:26" x14ac:dyDescent="0.35">
      <c r="A794" s="29">
        <v>1</v>
      </c>
      <c r="B794" s="1" t="s">
        <v>3625</v>
      </c>
      <c r="C794" s="1"/>
      <c r="D794" s="1" t="s">
        <v>3539</v>
      </c>
      <c r="E794" s="1" t="s">
        <v>3540</v>
      </c>
      <c r="F794" s="1" t="s">
        <v>21</v>
      </c>
      <c r="G794" s="5" t="s">
        <v>3541</v>
      </c>
      <c r="H794" s="1" t="s">
        <v>17</v>
      </c>
      <c r="I794" s="2">
        <v>46086</v>
      </c>
      <c r="J794" s="33">
        <f t="shared" si="169"/>
        <v>301040</v>
      </c>
      <c r="K794" s="3">
        <v>28646</v>
      </c>
      <c r="L794" s="3">
        <v>246394</v>
      </c>
      <c r="M794" s="3">
        <v>25000</v>
      </c>
      <c r="N794" s="3">
        <v>0</v>
      </c>
      <c r="O794" s="3">
        <v>1000</v>
      </c>
      <c r="P794" s="1" t="s">
        <v>3542</v>
      </c>
      <c r="Q794" s="3">
        <v>411840</v>
      </c>
      <c r="R794" s="25">
        <f t="shared" si="170"/>
        <v>1.3680574010098325</v>
      </c>
      <c r="S794" s="32">
        <f t="shared" si="173"/>
        <v>301040</v>
      </c>
      <c r="T794" s="3">
        <f t="shared" si="171"/>
        <v>0</v>
      </c>
      <c r="U794" s="1" t="s">
        <v>3615</v>
      </c>
      <c r="V794" s="16">
        <v>1</v>
      </c>
      <c r="W794" s="28">
        <f t="shared" si="167"/>
        <v>1</v>
      </c>
      <c r="X794" s="27">
        <f t="shared" si="172"/>
        <v>1</v>
      </c>
      <c r="Y794" s="18"/>
      <c r="Z794" s="19"/>
    </row>
    <row r="795" spans="1:26" x14ac:dyDescent="0.35">
      <c r="A795" s="29">
        <v>1</v>
      </c>
      <c r="B795" s="1" t="s">
        <v>3625</v>
      </c>
      <c r="C795" s="1"/>
      <c r="D795" s="1" t="s">
        <v>3307</v>
      </c>
      <c r="E795" s="1" t="s">
        <v>3308</v>
      </c>
      <c r="F795" s="1" t="s">
        <v>21</v>
      </c>
      <c r="G795" s="5" t="s">
        <v>3309</v>
      </c>
      <c r="H795" s="1" t="s">
        <v>17</v>
      </c>
      <c r="I795" s="2">
        <v>46086</v>
      </c>
      <c r="J795" s="33">
        <f t="shared" si="169"/>
        <v>501067</v>
      </c>
      <c r="K795" s="3">
        <v>47779</v>
      </c>
      <c r="L795" s="3">
        <v>410621</v>
      </c>
      <c r="M795" s="3">
        <v>41667</v>
      </c>
      <c r="N795" s="3">
        <v>0</v>
      </c>
      <c r="O795" s="3">
        <v>1000</v>
      </c>
      <c r="P795" s="1" t="s">
        <v>3310</v>
      </c>
      <c r="Q795" s="3">
        <v>563300</v>
      </c>
      <c r="R795" s="25">
        <f t="shared" si="170"/>
        <v>1.1242009551616849</v>
      </c>
      <c r="S795" s="32">
        <f t="shared" si="173"/>
        <v>501067</v>
      </c>
      <c r="T795" s="3">
        <f t="shared" si="171"/>
        <v>0</v>
      </c>
      <c r="U795" s="1" t="s">
        <v>3615</v>
      </c>
      <c r="V795" s="16">
        <v>1</v>
      </c>
      <c r="W795" s="28">
        <f t="shared" si="167"/>
        <v>1</v>
      </c>
      <c r="X795" s="27">
        <f t="shared" si="172"/>
        <v>1</v>
      </c>
      <c r="Y795" s="18"/>
      <c r="Z795" s="19"/>
    </row>
    <row r="796" spans="1:26" x14ac:dyDescent="0.35">
      <c r="A796" s="29">
        <v>1</v>
      </c>
      <c r="B796" s="1" t="s">
        <v>3625</v>
      </c>
      <c r="C796" s="1"/>
      <c r="D796" s="1" t="s">
        <v>3599</v>
      </c>
      <c r="E796" s="1" t="s">
        <v>3600</v>
      </c>
      <c r="F796" s="1" t="s">
        <v>21</v>
      </c>
      <c r="G796" s="5" t="s">
        <v>3601</v>
      </c>
      <c r="H796" s="1" t="s">
        <v>17</v>
      </c>
      <c r="I796" s="2">
        <v>46086</v>
      </c>
      <c r="J796" s="33">
        <f t="shared" si="169"/>
        <v>31004</v>
      </c>
      <c r="K796" s="3">
        <v>5030</v>
      </c>
      <c r="L796" s="3">
        <v>22474</v>
      </c>
      <c r="M796" s="3">
        <v>2500</v>
      </c>
      <c r="N796" s="3">
        <v>0</v>
      </c>
      <c r="O796" s="3">
        <v>1000</v>
      </c>
      <c r="P796" s="1" t="s">
        <v>3602</v>
      </c>
      <c r="Q796" s="3">
        <v>72000</v>
      </c>
      <c r="R796" s="25">
        <f t="shared" si="170"/>
        <v>2.322280996000516</v>
      </c>
      <c r="S796" s="32">
        <f t="shared" si="173"/>
        <v>31004</v>
      </c>
      <c r="T796" s="3">
        <f t="shared" si="171"/>
        <v>0</v>
      </c>
      <c r="U796" s="1" t="s">
        <v>3615</v>
      </c>
      <c r="V796" s="16">
        <v>1</v>
      </c>
      <c r="W796" s="28">
        <f t="shared" si="167"/>
        <v>1</v>
      </c>
      <c r="X796" s="27">
        <f t="shared" si="172"/>
        <v>1</v>
      </c>
      <c r="Y796" s="18"/>
      <c r="Z796" s="19"/>
    </row>
    <row r="797" spans="1:26" x14ac:dyDescent="0.35">
      <c r="A797" s="29">
        <v>1</v>
      </c>
      <c r="B797" s="1" t="s">
        <v>3625</v>
      </c>
      <c r="C797" s="1"/>
      <c r="D797" s="1" t="s">
        <v>3576</v>
      </c>
      <c r="E797" s="1" t="s">
        <v>3577</v>
      </c>
      <c r="F797" s="1" t="s">
        <v>21</v>
      </c>
      <c r="G797" s="5" t="s">
        <v>3578</v>
      </c>
      <c r="H797" s="1" t="s">
        <v>17</v>
      </c>
      <c r="I797" s="2">
        <v>46086</v>
      </c>
      <c r="J797" s="33">
        <f t="shared" si="169"/>
        <v>81011</v>
      </c>
      <c r="K797" s="3">
        <v>13414</v>
      </c>
      <c r="L797" s="3">
        <v>59930</v>
      </c>
      <c r="M797" s="3">
        <v>6667</v>
      </c>
      <c r="N797" s="3">
        <v>0</v>
      </c>
      <c r="O797" s="3">
        <v>1000</v>
      </c>
      <c r="P797" s="1" t="s">
        <v>3579</v>
      </c>
      <c r="Q797" s="3">
        <v>136000</v>
      </c>
      <c r="R797" s="25">
        <f t="shared" si="170"/>
        <v>1.6787843626174224</v>
      </c>
      <c r="S797" s="32">
        <f t="shared" si="173"/>
        <v>81011</v>
      </c>
      <c r="T797" s="3">
        <f t="shared" si="171"/>
        <v>0</v>
      </c>
      <c r="U797" s="1" t="s">
        <v>3615</v>
      </c>
      <c r="V797" s="16">
        <v>1</v>
      </c>
      <c r="W797" s="28">
        <f t="shared" si="167"/>
        <v>1</v>
      </c>
      <c r="X797" s="27">
        <f t="shared" si="172"/>
        <v>1</v>
      </c>
      <c r="Y797" s="18"/>
      <c r="Z797" s="19"/>
    </row>
    <row r="798" spans="1:26" x14ac:dyDescent="0.35">
      <c r="A798" s="29">
        <v>1</v>
      </c>
      <c r="B798" s="1" t="s">
        <v>3625</v>
      </c>
      <c r="C798" s="1"/>
      <c r="D798" s="1" t="s">
        <v>3283</v>
      </c>
      <c r="E798" s="1" t="s">
        <v>3284</v>
      </c>
      <c r="F798" s="1" t="s">
        <v>21</v>
      </c>
      <c r="G798" s="5" t="s">
        <v>3285</v>
      </c>
      <c r="H798" s="1" t="s">
        <v>17</v>
      </c>
      <c r="I798" s="2">
        <v>46086</v>
      </c>
      <c r="J798" s="33">
        <f t="shared" si="169"/>
        <v>151020</v>
      </c>
      <c r="K798" s="3">
        <v>17565</v>
      </c>
      <c r="L798" s="3">
        <v>119955</v>
      </c>
      <c r="M798" s="3">
        <v>12500</v>
      </c>
      <c r="N798" s="3">
        <v>0</v>
      </c>
      <c r="O798" s="3">
        <v>1000</v>
      </c>
      <c r="P798" s="1" t="s">
        <v>3286</v>
      </c>
      <c r="Q798" s="3">
        <v>321460</v>
      </c>
      <c r="R798" s="25">
        <f t="shared" si="170"/>
        <v>2.1285922394384849</v>
      </c>
      <c r="S798" s="32">
        <f t="shared" si="173"/>
        <v>151020</v>
      </c>
      <c r="T798" s="3">
        <f t="shared" si="171"/>
        <v>0</v>
      </c>
      <c r="U798" s="1" t="s">
        <v>3615</v>
      </c>
      <c r="V798" s="16">
        <v>1</v>
      </c>
      <c r="W798" s="28">
        <f t="shared" si="167"/>
        <v>1</v>
      </c>
      <c r="X798" s="27">
        <f t="shared" si="172"/>
        <v>1</v>
      </c>
      <c r="Y798" s="18"/>
      <c r="Z798" s="19"/>
    </row>
    <row r="799" spans="1:26" x14ac:dyDescent="0.35">
      <c r="A799" s="29">
        <v>1</v>
      </c>
      <c r="B799" s="1" t="s">
        <v>3625</v>
      </c>
      <c r="C799" s="1"/>
      <c r="D799" s="1" t="s">
        <v>3567</v>
      </c>
      <c r="E799" s="1" t="s">
        <v>3568</v>
      </c>
      <c r="F799" s="1" t="s">
        <v>21</v>
      </c>
      <c r="G799" s="5" t="s">
        <v>3569</v>
      </c>
      <c r="H799" s="1" t="s">
        <v>17</v>
      </c>
      <c r="I799" s="2">
        <v>46086</v>
      </c>
      <c r="J799" s="33">
        <f t="shared" si="169"/>
        <v>101490</v>
      </c>
      <c r="K799" s="3">
        <v>18740</v>
      </c>
      <c r="L799" s="3">
        <v>73417</v>
      </c>
      <c r="M799" s="3">
        <v>8333</v>
      </c>
      <c r="N799" s="3">
        <v>0</v>
      </c>
      <c r="O799" s="3">
        <v>1000</v>
      </c>
      <c r="P799" s="1" t="s">
        <v>3570</v>
      </c>
      <c r="Q799" s="3">
        <v>142500</v>
      </c>
      <c r="R799" s="25">
        <f t="shared" si="170"/>
        <v>1.4040792196275496</v>
      </c>
      <c r="S799" s="32">
        <f t="shared" si="173"/>
        <v>101490</v>
      </c>
      <c r="T799" s="3">
        <f t="shared" si="171"/>
        <v>0</v>
      </c>
      <c r="U799" s="1" t="s">
        <v>3615</v>
      </c>
      <c r="V799" s="16">
        <v>1</v>
      </c>
      <c r="W799" s="28">
        <f t="shared" si="167"/>
        <v>1</v>
      </c>
      <c r="X799" s="27">
        <f t="shared" si="172"/>
        <v>1</v>
      </c>
      <c r="Y799" s="18"/>
      <c r="Z799" s="19"/>
    </row>
    <row r="800" spans="1:26" ht="15" thickBot="1" x14ac:dyDescent="0.4">
      <c r="A800" s="29">
        <v>1</v>
      </c>
      <c r="B800" s="1" t="s">
        <v>3625</v>
      </c>
      <c r="C800" s="1"/>
      <c r="D800" s="1" t="s">
        <v>3580</v>
      </c>
      <c r="E800" s="1" t="s">
        <v>3581</v>
      </c>
      <c r="F800" s="1" t="s">
        <v>21</v>
      </c>
      <c r="G800" s="5" t="s">
        <v>3582</v>
      </c>
      <c r="H800" s="1" t="s">
        <v>17</v>
      </c>
      <c r="I800" s="2">
        <v>46086</v>
      </c>
      <c r="J800" s="33">
        <f t="shared" si="169"/>
        <v>51007</v>
      </c>
      <c r="K800" s="3">
        <v>8384</v>
      </c>
      <c r="L800" s="3">
        <v>37456</v>
      </c>
      <c r="M800" s="3">
        <v>4167</v>
      </c>
      <c r="N800" s="3">
        <v>0</v>
      </c>
      <c r="O800" s="3">
        <v>1000</v>
      </c>
      <c r="P800" s="1" t="s">
        <v>3583</v>
      </c>
      <c r="Q800" s="3">
        <v>29500</v>
      </c>
      <c r="R800" s="25">
        <f t="shared" si="170"/>
        <v>0.57835199090320932</v>
      </c>
      <c r="S800" s="32">
        <f>Q800</f>
        <v>29500</v>
      </c>
      <c r="T800" s="31">
        <f t="shared" si="171"/>
        <v>-21507</v>
      </c>
      <c r="U800" s="1" t="s">
        <v>3616</v>
      </c>
      <c r="V800" s="16"/>
      <c r="W800" s="30">
        <f t="shared" si="167"/>
        <v>0</v>
      </c>
      <c r="X800" s="27">
        <f t="shared" si="172"/>
        <v>0.57835199090320932</v>
      </c>
      <c r="Y800" s="20"/>
      <c r="Z800" s="21"/>
    </row>
    <row r="801" spans="1:24" s="40" customFormat="1" ht="15" thickBot="1" x14ac:dyDescent="0.4">
      <c r="A801" s="34">
        <f>SUM(A725:A800)</f>
        <v>76</v>
      </c>
      <c r="B801" s="73" t="s">
        <v>3626</v>
      </c>
      <c r="C801" s="73"/>
      <c r="D801" s="73"/>
      <c r="E801" s="73"/>
      <c r="F801" s="73"/>
      <c r="G801" s="73"/>
      <c r="H801" s="73"/>
      <c r="I801" s="73"/>
      <c r="J801" s="35">
        <f>SUM(J725:J800)</f>
        <v>12911371</v>
      </c>
      <c r="K801" s="36">
        <f t="shared" ref="K801:V801" si="174">SUM(K725:K800)</f>
        <v>1314665</v>
      </c>
      <c r="L801" s="36">
        <f t="shared" si="174"/>
        <v>10478569</v>
      </c>
      <c r="M801" s="36">
        <f t="shared" si="174"/>
        <v>1042137</v>
      </c>
      <c r="N801" s="36">
        <f t="shared" si="174"/>
        <v>0</v>
      </c>
      <c r="O801" s="36">
        <f t="shared" si="174"/>
        <v>76000</v>
      </c>
      <c r="P801" s="36">
        <f t="shared" si="174"/>
        <v>0</v>
      </c>
      <c r="Q801" s="36">
        <f t="shared" si="174"/>
        <v>18919882</v>
      </c>
      <c r="R801" s="36"/>
      <c r="S801" s="45">
        <f t="shared" si="174"/>
        <v>10308463</v>
      </c>
      <c r="T801" s="37">
        <f t="shared" si="174"/>
        <v>-2602908</v>
      </c>
      <c r="U801" s="35">
        <f t="shared" si="174"/>
        <v>0</v>
      </c>
      <c r="V801" s="35">
        <f t="shared" si="174"/>
        <v>48</v>
      </c>
      <c r="W801" s="38">
        <f t="shared" si="167"/>
        <v>0.63157894736842102</v>
      </c>
      <c r="X801" s="39">
        <f t="shared" ref="X801" si="175">S801/J801</f>
        <v>0.79840188931136746</v>
      </c>
    </row>
    <row r="802" spans="1:24" s="44" customFormat="1" ht="19" thickBot="1" x14ac:dyDescent="0.5">
      <c r="A802" s="41">
        <f>A801+A724+A674+A599+A559+A419+A308+A154+A122</f>
        <v>790</v>
      </c>
      <c r="B802" s="76" t="s">
        <v>3627</v>
      </c>
      <c r="C802" s="76"/>
      <c r="D802" s="76"/>
      <c r="E802" s="76"/>
      <c r="F802" s="76"/>
      <c r="G802" s="76"/>
      <c r="H802" s="76"/>
      <c r="I802" s="76"/>
      <c r="J802" s="41">
        <f>J801+J724+J674+J599+J559+J419+J308+J154+J122</f>
        <v>97856374</v>
      </c>
      <c r="K802" s="41">
        <f t="shared" ref="K802:V802" si="176">K801+K724+K674+K599+K559+K419+K308+K154+K122</f>
        <v>12508387</v>
      </c>
      <c r="L802" s="41">
        <f t="shared" si="176"/>
        <v>76763283</v>
      </c>
      <c r="M802" s="41">
        <f t="shared" si="176"/>
        <v>7794704</v>
      </c>
      <c r="N802" s="41">
        <f t="shared" si="176"/>
        <v>0</v>
      </c>
      <c r="O802" s="41">
        <f t="shared" si="176"/>
        <v>790000</v>
      </c>
      <c r="P802" s="41">
        <f t="shared" si="176"/>
        <v>0</v>
      </c>
      <c r="Q802" s="41">
        <f t="shared" si="176"/>
        <v>167270442</v>
      </c>
      <c r="R802" s="41"/>
      <c r="S802" s="41">
        <f t="shared" si="176"/>
        <v>73481061</v>
      </c>
      <c r="T802" s="41">
        <f t="shared" si="176"/>
        <v>-24375313</v>
      </c>
      <c r="U802" s="41">
        <f t="shared" si="176"/>
        <v>0</v>
      </c>
      <c r="V802" s="41">
        <f t="shared" si="176"/>
        <v>547</v>
      </c>
      <c r="W802" s="42">
        <f t="shared" si="167"/>
        <v>0.69240506329113927</v>
      </c>
      <c r="X802" s="43">
        <f>S802/J802</f>
        <v>0.7509072531136296</v>
      </c>
    </row>
  </sheetData>
  <autoFilter ref="A2:AA800" xr:uid="{00000000-0001-0000-0000-000000000000}">
    <sortState xmlns:xlrd2="http://schemas.microsoft.com/office/spreadsheetml/2017/richdata2" ref="A3:AA800">
      <sortCondition ref="E2:E800"/>
    </sortState>
  </autoFilter>
  <mergeCells count="11">
    <mergeCell ref="B122:I122"/>
    <mergeCell ref="Y1:Z1"/>
    <mergeCell ref="B801:I801"/>
    <mergeCell ref="B802:I802"/>
    <mergeCell ref="B724:I724"/>
    <mergeCell ref="B674:I674"/>
    <mergeCell ref="B599:I599"/>
    <mergeCell ref="B559:I559"/>
    <mergeCell ref="B419:I419"/>
    <mergeCell ref="B308:I308"/>
    <mergeCell ref="B154:I154"/>
  </mergeCells>
  <conditionalFormatting sqref="G2">
    <cfRule type="duplicateValues" dxfId="10" priority="11"/>
  </conditionalFormatting>
  <conditionalFormatting sqref="G122">
    <cfRule type="duplicateValues" dxfId="9" priority="1"/>
  </conditionalFormatting>
  <conditionalFormatting sqref="G154">
    <cfRule type="duplicateValues" dxfId="8" priority="2"/>
  </conditionalFormatting>
  <conditionalFormatting sqref="G308">
    <cfRule type="duplicateValues" dxfId="7" priority="3"/>
  </conditionalFormatting>
  <conditionalFormatting sqref="G419">
    <cfRule type="duplicateValues" dxfId="6" priority="4"/>
  </conditionalFormatting>
  <conditionalFormatting sqref="G559">
    <cfRule type="duplicateValues" dxfId="5" priority="5"/>
  </conditionalFormatting>
  <conditionalFormatting sqref="G599">
    <cfRule type="duplicateValues" dxfId="4" priority="6"/>
  </conditionalFormatting>
  <conditionalFormatting sqref="G674">
    <cfRule type="duplicateValues" dxfId="3" priority="7"/>
  </conditionalFormatting>
  <conditionalFormatting sqref="G724">
    <cfRule type="duplicateValues" dxfId="2" priority="8"/>
  </conditionalFormatting>
  <conditionalFormatting sqref="G801">
    <cfRule type="duplicateValues" dxfId="1" priority="10"/>
  </conditionalFormatting>
  <conditionalFormatting sqref="G802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Récap</vt:lpstr>
      <vt:lpstr>Listing tombées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Sollo Marius YAPI</cp:lastModifiedBy>
  <dcterms:created xsi:type="dcterms:W3CDTF">2026-03-05T04:48:11Z</dcterms:created>
  <dcterms:modified xsi:type="dcterms:W3CDTF">2026-03-05T10:19:56Z</dcterms:modified>
</cp:coreProperties>
</file>